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_NGHIEN CUU\_Github\py_bim_file_manager\"/>
    </mc:Choice>
  </mc:AlternateContent>
  <xr:revisionPtr revIDLastSave="0" documentId="13_ncr:1_{5F3CB689-490F-4545-B019-E1BF42EE4BB7}" xr6:coauthVersionLast="47" xr6:coauthVersionMax="47" xr10:uidLastSave="{00000000-0000-0000-0000-000000000000}"/>
  <bookViews>
    <workbookView xWindow="-120" yWindow="-120" windowWidth="29040" windowHeight="15840" xr2:uid="{FF5F5505-B34B-4F59-A7B5-E7DE2670709F}"/>
  </bookViews>
  <sheets>
    <sheet name="Master Sheet" sheetId="8" r:id="rId1"/>
    <sheet name="Schema" sheetId="13" r:id="rId2"/>
    <sheet name="Project" sheetId="4" r:id="rId3"/>
    <sheet name="Land" sheetId="5" r:id="rId4"/>
    <sheet name="LandPoint" sheetId="1" r:id="rId5"/>
    <sheet name="Level" sheetId="3" r:id="rId6"/>
    <sheet name="Grid" sheetId="2" r:id="rId7"/>
    <sheet name="Grid Curve" sheetId="7" r:id="rId8"/>
    <sheet name="Instance" sheetId="9" r:id="rId9"/>
    <sheet name="Type" sheetId="10" r:id="rId10"/>
    <sheet name="Family" sheetId="12" r:id="rId11"/>
    <sheet name="Category" sheetId="11" r:id="rId12"/>
    <sheet name="Curve" sheetId="6" r:id="rId13"/>
  </sheets>
  <functionGroups builtInGroupCount="19"/>
  <definedNames>
    <definedName name="Sheet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B1" i="11"/>
  <c r="B1" i="12"/>
  <c r="B1" i="10"/>
  <c r="B1" i="9"/>
  <c r="B1" i="7"/>
  <c r="B1" i="2"/>
  <c r="B1" i="3"/>
  <c r="B1" i="1"/>
  <c r="B1" i="5"/>
  <c r="B1" i="4"/>
  <c r="B1" i="13"/>
  <c r="H4" i="5"/>
  <c r="H5" i="5"/>
  <c r="C4" i="8" a="1"/>
  <c r="C10" i="8" a="1"/>
  <c r="C16" i="8" a="1"/>
  <c r="C22" i="8" a="1"/>
  <c r="C28" i="8" a="1"/>
  <c r="C5" i="8" a="1"/>
  <c r="C11" i="8" a="1"/>
  <c r="C17" i="8" a="1"/>
  <c r="C23" i="8" a="1"/>
  <c r="C6" i="8" a="1"/>
  <c r="C12" i="8" a="1"/>
  <c r="C18" i="8" a="1"/>
  <c r="C24" i="8" a="1"/>
  <c r="C21" i="8" a="1"/>
  <c r="C7" i="8" a="1"/>
  <c r="C13" i="8" a="1"/>
  <c r="C19" i="8" a="1"/>
  <c r="C25" i="8" a="1"/>
  <c r="C27" i="8" a="1"/>
  <c r="C8" i="8" a="1"/>
  <c r="C14" i="8" a="1"/>
  <c r="C20" i="8" a="1"/>
  <c r="C26" i="8" a="1"/>
  <c r="C15" i="8" a="1"/>
  <c r="C9" i="8" a="1"/>
  <c r="C3" i="8" a="1"/>
  <c r="C9" i="8" l="1"/>
  <c r="E9" i="8" s="1"/>
  <c r="C15" i="8"/>
  <c r="C26" i="8"/>
  <c r="C20" i="8"/>
  <c r="E20" i="8" s="1"/>
  <c r="C14" i="8"/>
  <c r="C8" i="8"/>
  <c r="C27" i="8"/>
  <c r="C25" i="8"/>
  <c r="E25" i="8" s="1"/>
  <c r="C19" i="8"/>
  <c r="E19" i="8" s="1"/>
  <c r="C13" i="8"/>
  <c r="E13" i="8" s="1"/>
  <c r="C7" i="8"/>
  <c r="C21" i="8"/>
  <c r="C24" i="8"/>
  <c r="C18" i="8"/>
  <c r="C12" i="8"/>
  <c r="E12" i="8" s="1"/>
  <c r="C6" i="8"/>
  <c r="E6" i="8" s="1"/>
  <c r="C23" i="8"/>
  <c r="C17" i="8"/>
  <c r="E17" i="8" s="1"/>
  <c r="C11" i="8"/>
  <c r="E11" i="8" s="1"/>
  <c r="C5" i="8"/>
  <c r="C28" i="8"/>
  <c r="C22" i="8"/>
  <c r="C16" i="8"/>
  <c r="C10" i="8"/>
  <c r="C4" i="8"/>
  <c r="E4" i="8" s="1"/>
  <c r="E27" i="8"/>
  <c r="E15" i="8"/>
  <c r="E26" i="8"/>
  <c r="E14" i="8"/>
  <c r="E8" i="8"/>
  <c r="E16" i="8"/>
  <c r="E7" i="8"/>
  <c r="E24" i="8"/>
  <c r="E18" i="8"/>
  <c r="E10" i="8"/>
  <c r="E21" i="8"/>
  <c r="C3" i="8"/>
  <c r="E3" i="8" s="1"/>
  <c r="E23" i="8"/>
  <c r="E5" i="8"/>
  <c r="E28" i="8"/>
  <c r="E22" i="8"/>
  <c r="M19" i="1" l="1"/>
  <c r="L19" i="1"/>
  <c r="B12" i="7"/>
  <c r="B14" i="7"/>
  <c r="B17" i="7"/>
  <c r="B26" i="7"/>
  <c r="B29" i="7"/>
  <c r="B32" i="7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M3" i="1"/>
  <c r="L3" i="1"/>
  <c r="N3" i="1" s="1"/>
  <c r="B11" i="7" l="1"/>
  <c r="B21" i="7"/>
  <c r="B8" i="7"/>
  <c r="B20" i="7"/>
  <c r="B5" i="7"/>
  <c r="B24" i="7"/>
  <c r="B23" i="7"/>
  <c r="B33" i="7"/>
  <c r="B34" i="7"/>
  <c r="B22" i="7"/>
  <c r="B9" i="7"/>
  <c r="B31" i="7"/>
  <c r="B19" i="7"/>
  <c r="B7" i="7"/>
  <c r="B30" i="7"/>
  <c r="B18" i="7"/>
  <c r="B6" i="7"/>
  <c r="B28" i="7"/>
  <c r="B16" i="7"/>
  <c r="B4" i="7"/>
  <c r="B27" i="7"/>
  <c r="B15" i="7"/>
  <c r="B10" i="7"/>
  <c r="B3" i="7"/>
  <c r="B25" i="7"/>
  <c r="B13" i="7"/>
  <c r="N14" i="1"/>
  <c r="N19" i="1"/>
  <c r="N12" i="1"/>
  <c r="N15" i="1"/>
  <c r="N11" i="1"/>
  <c r="N13" i="1"/>
  <c r="N9" i="1"/>
  <c r="N6" i="1"/>
  <c r="N10" i="1"/>
  <c r="N17" i="1"/>
  <c r="N8" i="1"/>
  <c r="N5" i="1"/>
  <c r="N16" i="1"/>
  <c r="N7" i="1"/>
  <c r="N4" i="1"/>
  <c r="N18" i="1"/>
  <c r="H3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<sst xmlns="http://schemas.openxmlformats.org/spreadsheetml/2006/main" count="455" uniqueCount="253">
  <si>
    <t>01</t>
  </si>
  <si>
    <t>01F</t>
  </si>
  <si>
    <t>02F</t>
  </si>
  <si>
    <t>03F</t>
  </si>
  <si>
    <t>04F</t>
  </si>
  <si>
    <t>05F</t>
  </si>
  <si>
    <t>06F</t>
  </si>
  <si>
    <t>TRF</t>
  </si>
  <si>
    <t>RFF</t>
  </si>
  <si>
    <t>GRF</t>
  </si>
  <si>
    <t>IRF</t>
  </si>
  <si>
    <t>BMF</t>
  </si>
  <si>
    <t>Name</t>
  </si>
  <si>
    <t>Type</t>
  </si>
  <si>
    <t>Location</t>
  </si>
  <si>
    <t>Test Project</t>
  </si>
  <si>
    <t>Highrise Office Mixed Use</t>
  </si>
  <si>
    <t>Nha Be District HCMC</t>
  </si>
  <si>
    <t>0001</t>
  </si>
  <si>
    <t>VN2000 X</t>
  </si>
  <si>
    <t>VN2000 Y</t>
  </si>
  <si>
    <t>Decade X</t>
  </si>
  <si>
    <t>Decade Y</t>
  </si>
  <si>
    <t>GPS X</t>
  </si>
  <si>
    <t>GPS Y</t>
  </si>
  <si>
    <t>Project Id</t>
  </si>
  <si>
    <t>Id</t>
  </si>
  <si>
    <t>LD_001</t>
  </si>
  <si>
    <t>LD_01</t>
  </si>
  <si>
    <t>Area</t>
  </si>
  <si>
    <t>Perimeter</t>
  </si>
  <si>
    <t>Land Use</t>
  </si>
  <si>
    <t>Main Land</t>
  </si>
  <si>
    <t>Used Purpose</t>
  </si>
  <si>
    <t>Commercial</t>
  </si>
  <si>
    <t>Rent 50 years</t>
  </si>
  <si>
    <t>Area Unit</t>
  </si>
  <si>
    <t>Perimeter Unit</t>
  </si>
  <si>
    <t>metre</t>
  </si>
  <si>
    <t>Start Point X</t>
  </si>
  <si>
    <t>End Point X</t>
  </si>
  <si>
    <t>Start Point Y</t>
  </si>
  <si>
    <t>End Point Y</t>
  </si>
  <si>
    <t>Is Arc</t>
  </si>
  <si>
    <t>Arc Radius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</si>
  <si>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</si>
  <si>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</si>
  <si>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</si>
  <si>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</si>
  <si>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</si>
  <si>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</si>
  <si>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</si>
  <si>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</si>
  <si>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</si>
  <si>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</si>
  <si>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</si>
  <si>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</si>
  <si>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</si>
  <si>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</si>
  <si>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</si>
  <si>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</si>
  <si>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</si>
  <si>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</si>
  <si>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</si>
  <si>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</si>
  <si>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</si>
  <si>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</si>
  <si>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</si>
  <si>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1A</t>
  </si>
  <si>
    <t>1B</t>
  </si>
  <si>
    <t>1C</t>
  </si>
  <si>
    <t>1D</t>
  </si>
  <si>
    <t>1E</t>
  </si>
  <si>
    <t>1F</t>
  </si>
  <si>
    <t>1G</t>
  </si>
  <si>
    <t>1H</t>
  </si>
  <si>
    <t>Grid Id</t>
  </si>
  <si>
    <t>Arc Radius Unit</t>
  </si>
  <si>
    <t>Distance From Previous</t>
  </si>
  <si>
    <t>Unit</t>
  </si>
  <si>
    <t>m</t>
  </si>
  <si>
    <t>CFA</t>
  </si>
  <si>
    <t>Vị trí/ Location</t>
  </si>
  <si>
    <t>Diện tích đất / Site Area</t>
  </si>
  <si>
    <t>Quy mô dự án / Project Scale</t>
  </si>
  <si>
    <t>Số Tầng hầm/ Number of Basement</t>
  </si>
  <si>
    <t>Loại công trình/ Type of project</t>
  </si>
  <si>
    <t>Hạng mục công trình / Main package (item)</t>
  </si>
  <si>
    <t>Tình trạng dự án / Status of project</t>
  </si>
  <si>
    <t>Tổng mức đầu tư dự kiến / Investment value</t>
  </si>
  <si>
    <t>Giá trị xây dựng ước tính / Estimation value of construction</t>
  </si>
  <si>
    <t>Thời gian bắt đầu thi công dự kiến / Date of commencement</t>
  </si>
  <si>
    <t>Thời gian hoàn thành dự kiến / Date of completion</t>
  </si>
  <si>
    <t>Ngày khảo sát dự án / Date of site visit</t>
  </si>
  <si>
    <t>Ngày ghi nhận/ Date</t>
  </si>
  <si>
    <t>Mã số công trình/ Ref. No</t>
  </si>
  <si>
    <t>Chủ Đầu Tư/ Client</t>
  </si>
  <si>
    <t>Công trình/ Project Name</t>
  </si>
  <si>
    <t>Địa điểm/ Location</t>
  </si>
  <si>
    <t>Gói thầu/ Hạng mục - Package/ Item</t>
  </si>
  <si>
    <t>Sys Id</t>
  </si>
  <si>
    <t>ID</t>
  </si>
  <si>
    <t>SHEET</t>
  </si>
  <si>
    <t>TypeID</t>
  </si>
  <si>
    <t>TypeName</t>
  </si>
  <si>
    <t>TypeUniqueID</t>
  </si>
  <si>
    <t>FamilyTypeID</t>
  </si>
  <si>
    <t>FamilyUniqueID</t>
  </si>
  <si>
    <t>FamilyName</t>
  </si>
  <si>
    <t>CategoryID</t>
  </si>
  <si>
    <t>CategoryUniqueID</t>
  </si>
  <si>
    <t>CategoryName</t>
  </si>
  <si>
    <t>InstanceID</t>
  </si>
  <si>
    <t>InstanceUniqueID</t>
  </si>
  <si>
    <t>InstanceName</t>
  </si>
  <si>
    <t>FamilyID</t>
  </si>
  <si>
    <t>DESCRIPTION</t>
  </si>
  <si>
    <t>HYPERLINK</t>
  </si>
  <si>
    <t>LocationID</t>
  </si>
  <si>
    <t>QuantityID</t>
  </si>
  <si>
    <t>CostID</t>
  </si>
  <si>
    <t>TimeID</t>
  </si>
  <si>
    <t>GeometryID</t>
  </si>
  <si>
    <t>AsBuiltID</t>
  </si>
  <si>
    <t>FacilityID</t>
  </si>
  <si>
    <t>AssetID</t>
  </si>
  <si>
    <t>PointName</t>
  </si>
  <si>
    <t>ProjectID</t>
  </si>
  <si>
    <t>LandID</t>
  </si>
  <si>
    <t>LandPointID</t>
  </si>
  <si>
    <t>LP1</t>
  </si>
  <si>
    <t>LP3</t>
  </si>
  <si>
    <t>LP4</t>
  </si>
  <si>
    <t>LP5</t>
  </si>
  <si>
    <t>LP6</t>
  </si>
  <si>
    <t>LP7</t>
  </si>
  <si>
    <t>LP8</t>
  </si>
  <si>
    <t>LP9</t>
  </si>
  <si>
    <t>LP10</t>
  </si>
  <si>
    <t>LP11</t>
  </si>
  <si>
    <t>LP12</t>
  </si>
  <si>
    <t>LP13</t>
  </si>
  <si>
    <t>LP14</t>
  </si>
  <si>
    <t>LP15</t>
  </si>
  <si>
    <t>LP16</t>
  </si>
  <si>
    <t>LP2</t>
  </si>
  <si>
    <t>NextLandPointID</t>
  </si>
  <si>
    <t>PreviousLandPointID</t>
  </si>
  <si>
    <t>GridID</t>
  </si>
  <si>
    <t>GR001</t>
  </si>
  <si>
    <t>GR002</t>
  </si>
  <si>
    <t>GR003</t>
  </si>
  <si>
    <t>GR004</t>
  </si>
  <si>
    <t>GR005</t>
  </si>
  <si>
    <t>GR006</t>
  </si>
  <si>
    <t>GR007</t>
  </si>
  <si>
    <t>GR008</t>
  </si>
  <si>
    <t>GR009</t>
  </si>
  <si>
    <t>GR010</t>
  </si>
  <si>
    <t>GR011</t>
  </si>
  <si>
    <t>GR012</t>
  </si>
  <si>
    <t>GR013</t>
  </si>
  <si>
    <t>GR014</t>
  </si>
  <si>
    <t>GR015</t>
  </si>
  <si>
    <t>GR016</t>
  </si>
  <si>
    <t>GR017</t>
  </si>
  <si>
    <t>GR018</t>
  </si>
  <si>
    <t>GR019</t>
  </si>
  <si>
    <t>GR020</t>
  </si>
  <si>
    <t>GR021</t>
  </si>
  <si>
    <t>GR022</t>
  </si>
  <si>
    <t>GR023</t>
  </si>
  <si>
    <t>GR024</t>
  </si>
  <si>
    <t>GR025</t>
  </si>
  <si>
    <t>GR026</t>
  </si>
  <si>
    <t>GR027</t>
  </si>
  <si>
    <t>GR028</t>
  </si>
  <si>
    <t>GR029</t>
  </si>
  <si>
    <t>GR030</t>
  </si>
  <si>
    <t>GR031</t>
  </si>
  <si>
    <t>GR032</t>
  </si>
  <si>
    <t>GridName</t>
  </si>
  <si>
    <t>LevelID</t>
  </si>
  <si>
    <t>LV001</t>
  </si>
  <si>
    <t>LV002</t>
  </si>
  <si>
    <t>LV003</t>
  </si>
  <si>
    <t>LV004</t>
  </si>
  <si>
    <t>LV005</t>
  </si>
  <si>
    <t>LV006</t>
  </si>
  <si>
    <t>LV007</t>
  </si>
  <si>
    <t>LV008</t>
  </si>
  <si>
    <t>LV009</t>
  </si>
  <si>
    <t>LV010</t>
  </si>
  <si>
    <t>LV011</t>
  </si>
  <si>
    <t>NationalDatumLevelElevation</t>
  </si>
  <si>
    <t>LevelElevation</t>
  </si>
  <si>
    <t>LevelName</t>
  </si>
  <si>
    <t>IsArc</t>
  </si>
  <si>
    <t>OriginID</t>
  </si>
  <si>
    <t>CurveID</t>
  </si>
  <si>
    <t>CV001</t>
  </si>
  <si>
    <t>CV002</t>
  </si>
  <si>
    <t>CV003</t>
  </si>
  <si>
    <t>CV004</t>
  </si>
  <si>
    <t>CV005</t>
  </si>
  <si>
    <t>CV006</t>
  </si>
  <si>
    <t>CV007</t>
  </si>
  <si>
    <t>CV008</t>
  </si>
  <si>
    <t>CV009</t>
  </si>
  <si>
    <t>CV010</t>
  </si>
  <si>
    <t>CV011</t>
  </si>
  <si>
    <t>CV012</t>
  </si>
  <si>
    <t>CV013</t>
  </si>
  <si>
    <t>CV014</t>
  </si>
  <si>
    <t>CV015</t>
  </si>
  <si>
    <t>CV016</t>
  </si>
  <si>
    <t>CV017</t>
  </si>
  <si>
    <t>CV018</t>
  </si>
  <si>
    <t>CV019</t>
  </si>
  <si>
    <t>CV020</t>
  </si>
  <si>
    <t>CV021</t>
  </si>
  <si>
    <t>CV022</t>
  </si>
  <si>
    <t>CV023</t>
  </si>
  <si>
    <t>CV024</t>
  </si>
  <si>
    <t>CV025</t>
  </si>
  <si>
    <t>CV026</t>
  </si>
  <si>
    <t>CV027</t>
  </si>
  <si>
    <t>CV028</t>
  </si>
  <si>
    <t>CV029</t>
  </si>
  <si>
    <t>CV030</t>
  </si>
  <si>
    <t>CV031</t>
  </si>
  <si>
    <t>CV032</t>
  </si>
  <si>
    <t>CV033</t>
  </si>
  <si>
    <t>CV034</t>
  </si>
  <si>
    <t>CV035</t>
  </si>
  <si>
    <t>CV036</t>
  </si>
  <si>
    <t>CV037</t>
  </si>
  <si>
    <t>CV038</t>
  </si>
  <si>
    <t>CV039</t>
  </si>
  <si>
    <t>CV040</t>
  </si>
  <si>
    <t>CV041</t>
  </si>
  <si>
    <t>CV042</t>
  </si>
  <si>
    <t>CV043</t>
  </si>
  <si>
    <t>StartPointID</t>
  </si>
  <si>
    <t>EndPointID</t>
  </si>
  <si>
    <t>CurveLength</t>
  </si>
  <si>
    <t>PrimaryKey</t>
  </si>
  <si>
    <t>ForeignKey</t>
  </si>
  <si>
    <t>TableName</t>
  </si>
  <si>
    <t>DataName</t>
  </si>
  <si>
    <t>SchemaID</t>
  </si>
  <si>
    <t>Instance</t>
  </si>
  <si>
    <t>IsAttribute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</si>
</sst>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43" fontId="0" fillId="0" borderId="0" xfId="1" applyFont="1"/>
    <xf numFmtId="2" fontId="0" fillId="0" borderId="0" xfId="1" applyNumberFormat="1" applyFont="1"/>
    <xf numFmtId="49" fontId="0" fillId="0" borderId="0" xfId="0" applyNumberFormat="1"/>
    <xf numFmtId="0" fontId="0" fillId="0" borderId="0" xfId="0" applyNumberFormat="1"/>
    <xf numFmtId="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0" fontId="0" fillId="2" borderId="0" xfId="0" applyFill="1" applyAlignment="1">
      <alignment wrapText="1"/>
    </xf>
    <xf numFmtId="0" fontId="0" fillId="2" borderId="0" xfId="0" applyFont="1" applyFill="1"/>
    <xf numFmtId="0" fontId="0" fillId="2" borderId="0" xfId="0" applyFill="1"/>
    <xf numFmtId="49" fontId="2" fillId="2" borderId="0" xfId="0" applyNumberFormat="1" applyFont="1" applyFill="1"/>
    <xf numFmtId="0" fontId="2" fillId="2" borderId="0" xfId="0" applyFont="1" applyFill="1"/>
    <xf numFmtId="49" fontId="0" fillId="2" borderId="0" xfId="0" applyNumberFormat="1" applyFont="1" applyFill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Fill="1" applyAlignment="1">
      <alignment horizontal="left" vertical="top" wrapText="1"/>
    </xf>
    <xf numFmtId="0" fontId="5" fillId="0" borderId="0" xfId="0" applyFont="1"/>
    <xf numFmtId="0" fontId="4" fillId="0" borderId="0" xfId="2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left" vertical="top" wrapText="1"/>
    </xf>
    <xf numFmtId="43" fontId="0" fillId="0" borderId="0" xfId="1" applyFont="1" applyAlignment="1">
      <alignment horizontal="left" vertical="top" wrapText="1"/>
    </xf>
    <xf numFmtId="2" fontId="0" fillId="0" borderId="0" xfId="1" applyNumberFormat="1" applyFont="1" applyAlignment="1">
      <alignment horizontal="left" vertical="top" wrapText="1"/>
    </xf>
  </cellXfs>
  <cellStyles count="3">
    <cellStyle name="Comma" xfId="1" builtinId="3"/>
    <cellStyle name="Hyperlink" xfId="2" builtinId="8"/>
    <cellStyle name="Normal" xfId="0" builtinId="0" customBuiltin="1"/>
  </cellStyles>
  <dxfs count="59"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solid">
          <fgColor indexed="64"/>
          <bgColor theme="0" tint="-0.14999847407452621"/>
        </patternFill>
      </fill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Light18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268B74-3147-4AD0-9782-34A59A91078A}" name="Table12" displayName="Table12" ref="B2:E28" totalsRowShown="0" headerRowDxfId="8">
  <autoFilter ref="B2:E28" xr:uid="{32268B74-3147-4AD0-9782-34A59A91078A}"/>
  <tableColumns count="4">
    <tableColumn id="1" xr3:uid="{DEC1AF0F-F4A7-4D4B-96BB-7C261E755B1F}" name="ID"/>
    <tableColumn id="2" xr3:uid="{15CE03AB-DBCB-4330-9D34-E5A027DCAF61}" name="SHEET" dataDxfId="7">
      <calculatedColumnFormula array="1">IF(ISERR(INDEX(Sheets,B3)),"-",INDEX(Sheets,B3))</calculatedColumnFormula>
    </tableColumn>
    <tableColumn id="3" xr3:uid="{4E764276-873C-46FA-A9E5-AE0653D56D7D}" name="DESCRIPTION"/>
    <tableColumn id="4" xr3:uid="{1F173B36-3973-42EA-9D63-09B166FA6D3A}" name="HYPERLINK">
      <calculatedColumnFormula>HYPERLINK("#'"&amp;C3&amp;"'!A1","Go To Sheet")</calculatedColumnFormula>
    </tableColumn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A31739E-E725-49E4-90C6-D833D70E6C01}" name="Table13" displayName="Table13" ref="B2:G32" totalsRowShown="0" headerRowCellStyle="Normal" dataCellStyle="Normal">
  <autoFilter ref="B2:G32" xr:uid="{4A31739E-E725-49E4-90C6-D833D70E6C01}"/>
  <tableColumns count="6">
    <tableColumn id="1" xr3:uid="{ED7FF0B1-1D79-4BC1-890A-EDFBA5E2E3D2}" name="SchemaID" dataCellStyle="Normal"/>
    <tableColumn id="2" xr3:uid="{588733BA-0065-47E3-B7D9-71F7F50B7E38}" name="DataName" dataCellStyle="Normal"/>
    <tableColumn id="3" xr3:uid="{D7A92CDB-16B5-4786-AFA7-86E0F70D4485}" name="TableName" dataCellStyle="Normal"/>
    <tableColumn id="4" xr3:uid="{2F0ADE2D-CDA9-4D37-A362-E9C85D959C1E}" name="PrimaryKey" dataCellStyle="Normal"/>
    <tableColumn id="5" xr3:uid="{5E085298-D5FF-4C5A-9D2A-2B8DD00D79A4}" name="ForeignKey" dataCellStyle="Normal"/>
    <tableColumn id="6" xr3:uid="{3B4A8DA9-31FE-441C-83BC-4E4149C69989}" name="IsAttribute" dataCellStyle="Normal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8467B0-C7FD-43D6-9E13-369E6C98B634}" name="Table1" displayName="Table1" ref="B2:Y23" totalsRowShown="0" headerRowDxfId="40" dataDxfId="39" headerRowCellStyle="Normal" dataCellStyle="Normal">
  <autoFilter ref="B2:Y23" xr:uid="{348467B0-C7FD-43D6-9E13-369E6C98B63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</autoFilter>
  <tableColumns count="24">
    <tableColumn id="25" xr3:uid="{FBC24E9F-C82B-4D53-BC35-62D11692CEC8}" name="Sys Id" dataDxfId="15"/>
    <tableColumn id="1" xr3:uid="{167B3376-9C1A-4E22-AA63-D8AA2ED6EBA4}" name="Id" dataDxfId="38" dataCellStyle="Normal"/>
    <tableColumn id="14" xr3:uid="{C4710514-7DAB-44A4-ADFD-F30915BE1218}" name="Name" dataDxfId="37" dataCellStyle="Normal"/>
    <tableColumn id="2" xr3:uid="{43974AE0-434F-4D5A-8302-AF1BCB7284B8}" name="Type" dataDxfId="36" dataCellStyle="Normal"/>
    <tableColumn id="3" xr3:uid="{B9272B6A-C19F-44D0-9250-8F7E905F43C7}" name="Location" dataDxfId="35" dataCellStyle="Normal"/>
    <tableColumn id="18" xr3:uid="{73DCF001-9E95-48A6-BFC1-76056B8885F4}" name="Ngày ghi nhận/ Date" dataDxfId="34" dataCellStyle="Normal"/>
    <tableColumn id="19" xr3:uid="{7E421770-4E7E-412A-9310-D4C04437A901}" name="Mã số công trình/ Ref. No" dataDxfId="33" dataCellStyle="Normal"/>
    <tableColumn id="20" xr3:uid="{557C890D-3405-4D64-A8D0-55691B4931A0}" name="Chủ Đầu Tư/ Client" dataDxfId="32" dataCellStyle="Normal"/>
    <tableColumn id="21" xr3:uid="{98F15DAF-DE2D-4AF9-BF32-8241481E6F13}" name="Công trình/ Project Name" dataDxfId="31" dataCellStyle="Normal"/>
    <tableColumn id="22" xr3:uid="{FEFA4739-3669-41FB-BEDC-D3C9DE0638F2}" name="Địa điểm/ Location" dataDxfId="30" dataCellStyle="Normal"/>
    <tableColumn id="23" xr3:uid="{B4C9629E-1E81-465D-A5C7-A070A9ADEACA}" name="Gói thầu/ Hạng mục - Package/ Item" dataDxfId="29" dataCellStyle="Normal"/>
    <tableColumn id="4" xr3:uid="{25855EF7-3252-4E09-9E91-634AC7CD501C}" name="Vị trí/ Location" dataDxfId="28" dataCellStyle="Normal"/>
    <tableColumn id="5" xr3:uid="{EF124B64-994B-4AF2-9EFB-6D0B1D4FAC28}" name="Diện tích đất / Site Area" dataDxfId="27" dataCellStyle="Normal"/>
    <tableColumn id="6" xr3:uid="{4F32C847-CDFC-4B4C-A8B8-E788FCE06BE3}" name="Quy mô dự án / Project Scale" dataDxfId="26" dataCellStyle="Normal"/>
    <tableColumn id="7" xr3:uid="{FFCFB7B3-E90E-48FD-BE36-79203D7C9F92}" name="CFA" dataDxfId="25" dataCellStyle="Normal"/>
    <tableColumn id="8" xr3:uid="{384E70B5-27C1-426B-853D-8E073B29EC2B}" name="Số Tầng hầm/ Number of Basement" dataDxfId="24" dataCellStyle="Normal"/>
    <tableColumn id="9" xr3:uid="{D5207F6C-6BA2-4403-821E-C2A4D778EAD0}" name="Loại công trình/ Type of project" dataDxfId="23" dataCellStyle="Normal"/>
    <tableColumn id="10" xr3:uid="{36AB1574-9260-4825-A4E0-71CC426B5914}" name="Hạng mục công trình / Main package (item)" dataDxfId="22" dataCellStyle="Normal"/>
    <tableColumn id="11" xr3:uid="{E8EF09E2-8667-49B5-853D-9325DE2D30BB}" name="Tình trạng dự án / Status of project" dataDxfId="21" dataCellStyle="Normal"/>
    <tableColumn id="12" xr3:uid="{C49C0FF1-8F93-4D0E-B8FE-5F91303E8C9E}" name="Tổng mức đầu tư dự kiến / Investment value" dataDxfId="20" dataCellStyle="Normal"/>
    <tableColumn id="13" xr3:uid="{F342ADF2-16D4-4C12-A571-A608E60381FE}" name="Giá trị xây dựng ước tính / Estimation value of construction" dataDxfId="19" dataCellStyle="Normal"/>
    <tableColumn id="15" xr3:uid="{BBBBA6E0-45B4-47D3-8F72-53FE85598DFA}" name="Thời gian bắt đầu thi công dự kiến / Date of commencement" dataDxfId="18" dataCellStyle="Normal"/>
    <tableColumn id="16" xr3:uid="{528F40A2-8DF2-49BB-BD6D-06DCA87F2E1E}" name="Thời gian hoàn thành dự kiến / Date of completion" dataDxfId="17" dataCellStyle="Normal"/>
    <tableColumn id="17" xr3:uid="{974FF178-56EC-4846-8C4B-144B6ED8E460}" name="Ngày khảo sát dự án / Date of site visit" dataDxfId="16" dataCellStyle="Normal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6607E7-7A4A-4AF0-80B5-F7F7DAE8FAE4}" name="Table3" displayName="Table3" ref="B2:J5" totalsRowShown="0">
  <autoFilter ref="B2:J5" xr:uid="{366607E7-7A4A-4AF0-80B5-F7F7DAE8FAE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5CFA8849-FB20-4AC4-BCE7-4A3DB9C5F4A7}" name="Project Id" dataDxfId="41"/>
    <tableColumn id="2" xr3:uid="{DC194554-AB1B-45A4-98BB-1AECF3BCBCFB}" name="Id" dataDxfId="58"/>
    <tableColumn id="5" xr3:uid="{EB44118B-EB48-4D74-B9A6-F5E62E901D37}" name="Name" dataDxfId="57"/>
    <tableColumn id="6" xr3:uid="{C4BBBA87-2714-45A6-9830-53EE66F3BF58}" name="Used Purpose" dataDxfId="56"/>
    <tableColumn id="7" xr3:uid="{87ECAE36-C298-40B2-AB0E-2F7475755163}" name="Land Use" dataDxfId="55"/>
    <tableColumn id="3" xr3:uid="{53106436-A983-46FF-AAFF-A56717E7DB51}" name="Area"/>
    <tableColumn id="4" xr3:uid="{D824C599-95BD-4510-A228-1610E72EF51D}" name="Perimeter" dataDxfId="54">
      <calculatedColumnFormula>SUM(Table2[Distance From Previous])</calculatedColumnFormula>
    </tableColumn>
    <tableColumn id="8" xr3:uid="{3FE61071-C8D6-42C0-BA89-76C58C219161}" name="Area Unit" dataDxfId="53"/>
    <tableColumn id="9" xr3:uid="{3AC5BBE8-BBF8-4CF4-9AA5-7F43FED72F6D}" name="Perimeter Unit" dataDxfId="52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62BCC9-430A-4692-8043-9933D87230CA}" name="Table2" displayName="Table2" ref="B2:O19" totalsRowShown="0" headerRowDxfId="10">
  <autoFilter ref="B2:O19" xr:uid="{0F62BCC9-430A-4692-8043-9933D87230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8" xr3:uid="{77B538A4-9BBA-4449-891C-FF27370CC38D}" name="LandPointID" dataDxfId="14"/>
    <tableColumn id="14" xr3:uid="{9A5742BA-4BEB-4E86-A40A-1CB1970E9531}" name="NextLandPointID" dataDxfId="11"/>
    <tableColumn id="13" xr3:uid="{7614D20C-8196-41F8-A235-CD34574B3CCD}" name="PreviousLandPointID" dataDxfId="12"/>
    <tableColumn id="1" xr3:uid="{DD7DF0C1-0153-4BD0-8122-464E5352AD34}" name="ProjectID" dataDxfId="13"/>
    <tableColumn id="10" xr3:uid="{0E65A927-7566-4FBC-B4DE-343E29007D24}" name="LandID" dataDxfId="51"/>
    <tableColumn id="9" xr3:uid="{C725703A-3A53-4435-9AC5-BC7FB9DC8C5F}" name="PointName"/>
    <tableColumn id="6" xr3:uid="{3A0C814F-4996-46C2-A8E1-2D2C94120075}" name="GPS X"/>
    <tableColumn id="7" xr3:uid="{F8919ECD-90DE-4B41-B7AF-8F37E556BB33}" name="GPS Y"/>
    <tableColumn id="2" xr3:uid="{0C9C06F0-A539-4990-8A37-86F09640BEF7}" name="VN2000 X" dataDxfId="50" dataCellStyle="Comma"/>
    <tableColumn id="3" xr3:uid="{3D24A183-399A-4D07-9FFE-00F9E0A5F71E}" name="VN2000 Y" dataDxfId="49" dataCellStyle="Comma"/>
    <tableColumn id="4" xr3:uid="{D3D5B21F-09C3-4B79-BCD0-90969921C93C}" name="Decade X" dataDxfId="48" dataCellStyle="Comma">
      <calculatedColumnFormula>K3-$K$3</calculatedColumnFormula>
    </tableColumn>
    <tableColumn id="5" xr3:uid="{4F654A6E-2780-495C-B4B7-6FABF0BC3149}" name="Decade Y" dataDxfId="47" dataCellStyle="Comma">
      <calculatedColumnFormula>J3-$J$3</calculatedColumnFormula>
    </tableColumn>
    <tableColumn id="11" xr3:uid="{CD90413A-DCE7-47AB-A195-002258E3FE32}" name="Distance From Previous" dataDxfId="46">
      <calculatedColumnFormula>IFERROR(SQRT(POWER(ABS(Table2[[#This Row],[Decade X]]-L2),2)+POWER(ABS(Table2[[#This Row],[Decade Y]]-M2),2)),0)</calculatedColumnFormula>
    </tableColumn>
    <tableColumn id="12" xr3:uid="{43298079-6577-4C03-9560-46C840ED04CC}" name="Unit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CAE2B5B-015D-4B51-98FA-381CA3B28CA5}" name="Table4" displayName="Table4" ref="B2:F21" totalsRowShown="0" headerRowDxfId="2">
  <autoFilter ref="B2:F21" xr:uid="{ACAE2B5B-015D-4B51-98FA-381CA3B28CA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6" xr3:uid="{A6E5C9BC-F596-4F97-A4E4-3C743286F969}" name="LevelID" dataDxfId="4"/>
    <tableColumn id="4" xr3:uid="{C75A5A01-B161-4562-A2AE-F53E364ACF0B}" name="ProjectID" dataDxfId="3"/>
    <tableColumn id="1" xr3:uid="{3DDF4E90-C480-4AEC-8CBC-B9DFAE94B4CF}" name="LevelName" dataDxfId="45"/>
    <tableColumn id="2" xr3:uid="{E59AF786-0849-4281-B81F-1F1E145DB578}" name="LevelElevation"/>
    <tableColumn id="3" xr3:uid="{C577B156-D0D7-45C9-9724-DBC64A1A5FC6}" name="NationalDatumLevelElevation"/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9BA7B-CF04-46E0-9AD4-4FC6829447BD}" name="Table6" displayName="Table6" ref="B2:D34" totalsRowShown="0" headerRowDxfId="44" dataDxfId="43">
  <autoFilter ref="B2:D34" xr:uid="{A619BA7B-CF04-46E0-9AD4-4FC6829447BD}">
    <filterColumn colId="0" hiddenButton="1"/>
    <filterColumn colId="1" hiddenButton="1"/>
    <filterColumn colId="2" hiddenButton="1"/>
  </autoFilter>
  <tableColumns count="3">
    <tableColumn id="4" xr3:uid="{03873BA6-D63E-4089-B219-9946D216BA85}" name="GridID" dataDxfId="6"/>
    <tableColumn id="1" xr3:uid="{E643CD66-7A83-4088-8B3E-2BE1A4ECDE59}" name="ProjectID" dataDxfId="5"/>
    <tableColumn id="2" xr3:uid="{EB87D8E2-9872-4AD4-99B4-F95CA9BB6750}" name="GridName" dataDxfId="42"/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65C82A-A215-4395-9E8A-AC1ECB1F7526}" name="Table7" displayName="Table7" ref="B2:I34" totalsRowShown="0" headerRowCellStyle="Normal" dataCellStyle="Normal">
  <autoFilter ref="B2:I34" xr:uid="{6F65C82A-A215-4395-9E8A-AC1ECB1F752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A84CB28-5FC2-4D59-81E2-8B525B66F066}" name="Grid Id" dataCellStyle="Normal">
      <calculatedColumnFormula>#REF!</calculatedColumnFormula>
    </tableColumn>
    <tableColumn id="2" xr3:uid="{5732F0FB-DCAB-4BF3-B5AF-075680ED547C}" name="Start Point X" dataCellStyle="Normal"/>
    <tableColumn id="3" xr3:uid="{7A25BDCE-CCF2-40AC-BFF0-DBBB88D9D412}" name="Start Point Y" dataCellStyle="Normal"/>
    <tableColumn id="4" xr3:uid="{AA3A3A13-BEB2-48D2-843D-B2548987BF22}" name="End Point X" dataCellStyle="Normal"/>
    <tableColumn id="5" xr3:uid="{23260EF3-EF0B-413D-8823-1D2CB1B1B11F}" name="End Point Y" dataCellStyle="Normal"/>
    <tableColumn id="6" xr3:uid="{BCFE58CA-BD06-40A0-B1F9-C9591B20C67E}" name="Is Arc" dataCellStyle="Normal"/>
    <tableColumn id="7" xr3:uid="{75032838-E21C-44DD-89FF-404223689BB0}" name="Arc Radius" dataCellStyle="Normal"/>
    <tableColumn id="8" xr3:uid="{73BF2489-3F78-4526-8B20-3AFD8186AB09}" name="Arc Radius Unit" dataCellStyle="Normal"/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0262DF9-8BD5-42E9-9F8B-C33F8551700F}" name="Table8" displayName="Table8" ref="B2:O31" totalsRowShown="0" headerRowDxfId="9">
  <autoFilter ref="B2:O31" xr:uid="{40262DF9-8BD5-42E9-9F8B-C33F8551700F}"/>
  <tableColumns count="14">
    <tableColumn id="1" xr3:uid="{A056D202-6D65-4313-B099-B8A1348D066C}" name="InstanceID"/>
    <tableColumn id="2" xr3:uid="{BE5AF011-9571-4F43-AF82-AE4DECB8166A}" name="InstanceUniqueID"/>
    <tableColumn id="3" xr3:uid="{566EEBB8-9DA7-4A16-93F2-CB0515A5B986}" name="InstanceName"/>
    <tableColumn id="4" xr3:uid="{D9D39689-CBCA-4A40-8B58-72CC397834A5}" name="TypeID"/>
    <tableColumn id="5" xr3:uid="{046A9AF4-D42B-4D24-9C2F-FD0C20246E20}" name="FamilyID"/>
    <tableColumn id="6" xr3:uid="{83A46699-9AA4-4884-BDE7-7FE595031F66}" name="CategoryID"/>
    <tableColumn id="7" xr3:uid="{AAB82C07-744F-45FD-B67A-024259494C21}" name="GeometryID"/>
    <tableColumn id="8" xr3:uid="{1A6D6591-1379-40A1-B9A0-D65A791FDB64}" name="LocationID"/>
    <tableColumn id="9" xr3:uid="{17ADA784-5B19-44D9-9706-1BF8FD076184}" name="QuantityID"/>
    <tableColumn id="10" xr3:uid="{C12DD6F2-C5EE-4FCE-93BC-C0F054BEA9D9}" name="CostID"/>
    <tableColumn id="11" xr3:uid="{E08ECB3E-783B-4EB0-A6C7-F635A9D92DA0}" name="TimeID"/>
    <tableColumn id="12" xr3:uid="{EA2B6BD0-D1E2-4619-91B1-AF0406CE4964}" name="AsBuiltID"/>
    <tableColumn id="13" xr3:uid="{303A69C8-223D-4610-B75E-C35B4C03F542}" name="FacilityID"/>
    <tableColumn id="14" xr3:uid="{901DCB44-2D50-47ED-9799-D9372AA898AD}" name="AssetID"/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C47FBF4-9B6D-4213-BD1A-B01C17633A9F}" name="Table9" displayName="Table9" ref="B2:D17" totalsRowShown="0">
  <autoFilter ref="B2:D17" xr:uid="{5C47FBF4-9B6D-4213-BD1A-B01C17633A9F}"/>
  <tableColumns count="3">
    <tableColumn id="1" xr3:uid="{113A3CEE-70D3-4558-BCF5-67EE74FFB37E}" name="TypeID"/>
    <tableColumn id="2" xr3:uid="{62C7801B-87C8-4903-9ECB-2CF2ADF6BA52}" name="TypeUniqueID"/>
    <tableColumn id="3" xr3:uid="{295BAF39-9A9D-4A7C-ADE8-7F784FA9306B}" name="TypeName"/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F10CB3-1330-4F5F-98E8-EDD1679309BD}" name="Table10" displayName="Table10" ref="B2:D15" totalsRowShown="0">
  <autoFilter ref="B2:D15" xr:uid="{2DF10CB3-1330-4F5F-98E8-EDD1679309BD}"/>
  <tableColumns count="3">
    <tableColumn id="1" xr3:uid="{45D1B159-9D25-4556-9942-C64C157FBDA9}" name="FamilyTypeID"/>
    <tableColumn id="2" xr3:uid="{76C5FE16-E9E0-4B13-B66D-F12021F2BA3E}" name="FamilyUniqueID"/>
    <tableColumn id="3" xr3:uid="{A6413E09-F828-4443-A3EA-8DBFCF861AF9}" name="FamilyName"/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3E62ED3-EBDC-4099-8126-2E18A9956347}" name="Table11" displayName="Table11" ref="B2:D17" totalsRowShown="0">
  <autoFilter ref="B2:D17" xr:uid="{53E62ED3-EBDC-4099-8126-2E18A9956347}"/>
  <tableColumns count="3">
    <tableColumn id="1" xr3:uid="{87ADE3E7-A3CA-4934-8A72-9A4E0E7A3C2E}" name="CategoryID"/>
    <tableColumn id="2" xr3:uid="{79EF2AE9-D508-4217-8DC0-75D29B4C2DC7}" name="CategoryUniqueID"/>
    <tableColumn id="3" xr3:uid="{5E542C52-8963-425C-934D-666936DD5559}" name="CategoryName"/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25E48BC-B65F-47C1-B152-DD103DF22D9A}" name="Table5" displayName="Table5" ref="B2:G45" totalsRowShown="0">
  <autoFilter ref="B2:G45" xr:uid="{025E48BC-B65F-47C1-B152-DD103DF22D9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xr3:uid="{9FD2E5AB-DBC8-4614-9227-D1B5ADADF495}" name="CurveID" dataDxfId="1"/>
    <tableColumn id="1" xr3:uid="{C394273C-0CB8-4A51-A154-D0FE8C9179D5}" name="OriginID" dataDxfId="0">
      <calculatedColumnFormula>#REF!</calculatedColumnFormula>
    </tableColumn>
    <tableColumn id="2" xr3:uid="{E5C2561A-7B7A-4A5C-93D9-3ED15AC16617}" name="StartPointID"/>
    <tableColumn id="5" xr3:uid="{A8D03F24-4456-4061-A217-90AA9DDDC68C}" name="EndPointID"/>
    <tableColumn id="6" xr3:uid="{048A0E6C-F90C-4261-ABAC-8D8D74CD37CA}" name="IsArc"/>
    <tableColumn id="8" xr3:uid="{5CE0C2EF-258D-4B0D-A4A2-9A10E9559D59}" name="CurveLength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97A51-C44B-4604-9ECA-0BC417ADECD2}">
  <sheetPr codeName="Sheet1"/>
  <dimension ref="B2:G28"/>
  <sheetViews>
    <sheetView tabSelected="1" workbookViewId="0">
      <selection activeCell="J31" sqref="J31"/>
    </sheetView>
  </sheetViews>
  <sheetFormatPr defaultRowHeight="14.25" x14ac:dyDescent="0.2"/>
  <cols>
    <col min="1" max="1" width="3.25" customWidth="1"/>
    <col min="2" max="2" width="8" customWidth="1"/>
    <col min="3" max="3" width="22.125" customWidth="1"/>
    <col min="4" max="4" width="15.75" customWidth="1"/>
    <col min="5" max="5" width="13.625" customWidth="1"/>
    <col min="7" max="7" width="19.75" customWidth="1"/>
  </cols>
  <sheetData>
    <row r="2" spans="2:7" s="17" customFormat="1" ht="15" x14ac:dyDescent="0.25">
      <c r="B2" s="17" t="s">
        <v>101</v>
      </c>
      <c r="C2" s="17" t="s">
        <v>102</v>
      </c>
      <c r="D2" s="17" t="s">
        <v>116</v>
      </c>
      <c r="E2" s="17" t="s">
        <v>117</v>
      </c>
    </row>
    <row r="3" spans="2:7" ht="15" x14ac:dyDescent="0.25">
      <c r="B3">
        <v>1</v>
      </c>
      <c r="C3" t="str" cm="1">
        <f t="array" ref="C3">IF(ISERR(INDEX(Sheets,B3)),"-",INDEX(Sheets,B3))</f>
        <v>Master Sheet</v>
      </c>
      <c r="E3" s="18" t="str">
        <f t="shared" ref="E3:E28" si="0">HYPERLINK("#'"&amp;C3&amp;"'!A1","Go To Sheet")</f>
        <v>Go To Sheet</v>
      </c>
      <c r="G3" s="18"/>
    </row>
    <row r="4" spans="2:7" ht="15" x14ac:dyDescent="0.25">
      <c r="B4">
        <v>2</v>
      </c>
      <c r="C4" t="str" cm="1">
        <f t="array" ref="C4">IF(ISERR(INDEX(Sheets,B4)),"-",INDEX(Sheets,B4))</f>
        <v>Schema</v>
      </c>
      <c r="E4" s="18" t="str">
        <f t="shared" si="0"/>
        <v>Go To Sheet</v>
      </c>
    </row>
    <row r="5" spans="2:7" ht="15" x14ac:dyDescent="0.25">
      <c r="B5">
        <v>3</v>
      </c>
      <c r="C5" t="str" cm="1">
        <f t="array" ref="C5">IF(ISERR(INDEX(Sheets,B5)),"-",INDEX(Sheets,B5))</f>
        <v>Project</v>
      </c>
      <c r="E5" s="18" t="str">
        <f t="shared" si="0"/>
        <v>Go To Sheet</v>
      </c>
    </row>
    <row r="6" spans="2:7" ht="15" x14ac:dyDescent="0.25">
      <c r="B6">
        <v>4</v>
      </c>
      <c r="C6" t="str" cm="1">
        <f t="array" ref="C6">IF(ISERR(INDEX(Sheets,B6)),"-",INDEX(Sheets,B6))</f>
        <v>Land</v>
      </c>
      <c r="E6" s="18" t="str">
        <f t="shared" si="0"/>
        <v>Go To Sheet</v>
      </c>
    </row>
    <row r="7" spans="2:7" ht="15" x14ac:dyDescent="0.25">
      <c r="B7">
        <v>5</v>
      </c>
      <c r="C7" t="str" cm="1">
        <f t="array" ref="C7">IF(ISERR(INDEX(Sheets,B7)),"-",INDEX(Sheets,B7))</f>
        <v>LandPoint</v>
      </c>
      <c r="E7" s="18" t="str">
        <f t="shared" si="0"/>
        <v>Go To Sheet</v>
      </c>
    </row>
    <row r="8" spans="2:7" ht="15" x14ac:dyDescent="0.25">
      <c r="B8">
        <v>6</v>
      </c>
      <c r="C8" t="str" cm="1">
        <f t="array" ref="C8">IF(ISERR(INDEX(Sheets,B8)),"-",INDEX(Sheets,B8))</f>
        <v>Level</v>
      </c>
      <c r="E8" s="18" t="str">
        <f t="shared" si="0"/>
        <v>Go To Sheet</v>
      </c>
    </row>
    <row r="9" spans="2:7" ht="15" x14ac:dyDescent="0.25">
      <c r="B9">
        <v>7</v>
      </c>
      <c r="C9" t="str" cm="1">
        <f t="array" ref="C9">IF(ISERR(INDEX(Sheets,B9)),"-",INDEX(Sheets,B9))</f>
        <v>Grid</v>
      </c>
      <c r="E9" s="18" t="str">
        <f t="shared" si="0"/>
        <v>Go To Sheet</v>
      </c>
    </row>
    <row r="10" spans="2:7" ht="15" x14ac:dyDescent="0.25">
      <c r="B10">
        <v>8</v>
      </c>
      <c r="C10" t="str" cm="1">
        <f t="array" ref="C10">IF(ISERR(INDEX(Sheets,B10)),"-",INDEX(Sheets,B10))</f>
        <v>Grid Curve</v>
      </c>
      <c r="E10" s="18" t="str">
        <f t="shared" si="0"/>
        <v>Go To Sheet</v>
      </c>
    </row>
    <row r="11" spans="2:7" ht="15" x14ac:dyDescent="0.25">
      <c r="B11">
        <v>9</v>
      </c>
      <c r="C11" t="str" cm="1">
        <f t="array" ref="C11">IF(ISERR(INDEX(Sheets,B11)),"-",INDEX(Sheets,B11))</f>
        <v>Instance</v>
      </c>
      <c r="E11" s="18" t="str">
        <f t="shared" si="0"/>
        <v>Go To Sheet</v>
      </c>
    </row>
    <row r="12" spans="2:7" ht="15" x14ac:dyDescent="0.25">
      <c r="B12">
        <v>10</v>
      </c>
      <c r="C12" t="str" cm="1">
        <f t="array" ref="C12">IF(ISERR(INDEX(Sheets,B12)),"-",INDEX(Sheets,B12))</f>
        <v>Type</v>
      </c>
      <c r="E12" s="18" t="str">
        <f t="shared" si="0"/>
        <v>Go To Sheet</v>
      </c>
    </row>
    <row r="13" spans="2:7" ht="15" x14ac:dyDescent="0.25">
      <c r="B13">
        <v>11</v>
      </c>
      <c r="C13" t="str" cm="1">
        <f t="array" ref="C13">IF(ISERR(INDEX(Sheets,B13)),"-",INDEX(Sheets,B13))</f>
        <v>Family</v>
      </c>
      <c r="E13" s="18" t="str">
        <f t="shared" si="0"/>
        <v>Go To Sheet</v>
      </c>
    </row>
    <row r="14" spans="2:7" ht="15" x14ac:dyDescent="0.25">
      <c r="B14">
        <v>12</v>
      </c>
      <c r="C14" t="str" cm="1">
        <f t="array" ref="C14">IF(ISERR(INDEX(Sheets,B14)),"-",INDEX(Sheets,B14))</f>
        <v>Category</v>
      </c>
      <c r="E14" s="18" t="str">
        <f t="shared" si="0"/>
        <v>Go To Sheet</v>
      </c>
    </row>
    <row r="15" spans="2:7" ht="15" x14ac:dyDescent="0.25">
      <c r="B15">
        <v>13</v>
      </c>
      <c r="C15" t="str" cm="1">
        <f t="array" ref="C15">IF(ISERR(INDEX(Sheets,B15)),"-",INDEX(Sheets,B15))</f>
        <v>Curve</v>
      </c>
      <c r="E15" s="18" t="str">
        <f t="shared" si="0"/>
        <v>Go To Sheet</v>
      </c>
    </row>
    <row r="16" spans="2:7" ht="15" x14ac:dyDescent="0.25">
      <c r="B16">
        <v>14</v>
      </c>
      <c r="C16" t="str" cm="1">
        <f t="array" ref="C16">IF(ISERR(INDEX(Sheets,B16)),"-",INDEX(Sheets,B16))</f>
        <v>-</v>
      </c>
      <c r="E16" s="18" t="str">
        <f t="shared" si="0"/>
        <v>Go To Sheet</v>
      </c>
    </row>
    <row r="17" spans="2:5" ht="15" x14ac:dyDescent="0.25">
      <c r="B17">
        <v>15</v>
      </c>
      <c r="C17" t="str" cm="1">
        <f t="array" ref="C17">IF(ISERR(INDEX(Sheets,B17)),"-",INDEX(Sheets,B17))</f>
        <v>-</v>
      </c>
      <c r="E17" s="18" t="str">
        <f t="shared" si="0"/>
        <v>Go To Sheet</v>
      </c>
    </row>
    <row r="18" spans="2:5" ht="15" x14ac:dyDescent="0.25">
      <c r="B18">
        <v>16</v>
      </c>
      <c r="C18" t="str" cm="1">
        <f t="array" ref="C18">IF(ISERR(INDEX(Sheets,B18)),"-",INDEX(Sheets,B18))</f>
        <v>-</v>
      </c>
      <c r="E18" s="18" t="str">
        <f t="shared" si="0"/>
        <v>Go To Sheet</v>
      </c>
    </row>
    <row r="19" spans="2:5" ht="15" x14ac:dyDescent="0.25">
      <c r="B19">
        <v>17</v>
      </c>
      <c r="C19" t="str" cm="1">
        <f t="array" ref="C19">IF(ISERR(INDEX(Sheets,B19)),"-",INDEX(Sheets,B19))</f>
        <v>-</v>
      </c>
      <c r="E19" s="18" t="str">
        <f t="shared" si="0"/>
        <v>Go To Sheet</v>
      </c>
    </row>
    <row r="20" spans="2:5" ht="15" x14ac:dyDescent="0.25">
      <c r="B20">
        <v>18</v>
      </c>
      <c r="C20" t="str" cm="1">
        <f t="array" ref="C20">IF(ISERR(INDEX(Sheets,B20)),"-",INDEX(Sheets,B20))</f>
        <v>-</v>
      </c>
      <c r="E20" s="18" t="str">
        <f t="shared" si="0"/>
        <v>Go To Sheet</v>
      </c>
    </row>
    <row r="21" spans="2:5" ht="15" x14ac:dyDescent="0.25">
      <c r="B21">
        <v>19</v>
      </c>
      <c r="C21" t="str" cm="1">
        <f t="array" ref="C21">IF(ISERR(INDEX(Sheets,B21)),"-",INDEX(Sheets,B21))</f>
        <v>-</v>
      </c>
      <c r="E21" s="18" t="str">
        <f t="shared" si="0"/>
        <v>Go To Sheet</v>
      </c>
    </row>
    <row r="22" spans="2:5" ht="15" x14ac:dyDescent="0.25">
      <c r="B22">
        <v>20</v>
      </c>
      <c r="C22" t="str" cm="1">
        <f t="array" ref="C22">IF(ISERR(INDEX(Sheets,B22)),"-",INDEX(Sheets,B22))</f>
        <v>-</v>
      </c>
      <c r="E22" s="18" t="str">
        <f t="shared" si="0"/>
        <v>Go To Sheet</v>
      </c>
    </row>
    <row r="23" spans="2:5" ht="15" x14ac:dyDescent="0.25">
      <c r="B23">
        <v>21</v>
      </c>
      <c r="C23" t="str" cm="1">
        <f t="array" ref="C23">IF(ISERR(INDEX(Sheets,B23)),"-",INDEX(Sheets,B23))</f>
        <v>-</v>
      </c>
      <c r="E23" s="18" t="str">
        <f t="shared" si="0"/>
        <v>Go To Sheet</v>
      </c>
    </row>
    <row r="24" spans="2:5" ht="15" x14ac:dyDescent="0.25">
      <c r="B24">
        <v>22</v>
      </c>
      <c r="C24" t="str" cm="1">
        <f t="array" ref="C24">IF(ISERR(INDEX(Sheets,B24)),"-",INDEX(Sheets,B24))</f>
        <v>-</v>
      </c>
      <c r="E24" s="18" t="str">
        <f t="shared" si="0"/>
        <v>Go To Sheet</v>
      </c>
    </row>
    <row r="25" spans="2:5" ht="15" x14ac:dyDescent="0.25">
      <c r="B25">
        <v>23</v>
      </c>
      <c r="C25" t="str" cm="1">
        <f t="array" ref="C25">IF(ISERR(INDEX(Sheets,B25)),"-",INDEX(Sheets,B25))</f>
        <v>-</v>
      </c>
      <c r="E25" s="18" t="str">
        <f t="shared" si="0"/>
        <v>Go To Sheet</v>
      </c>
    </row>
    <row r="26" spans="2:5" ht="15" x14ac:dyDescent="0.25">
      <c r="B26">
        <v>24</v>
      </c>
      <c r="C26" t="str" cm="1">
        <f t="array" ref="C26">IF(ISERR(INDEX(Sheets,B26)),"-",INDEX(Sheets,B26))</f>
        <v>-</v>
      </c>
      <c r="E26" s="18" t="str">
        <f t="shared" si="0"/>
        <v>Go To Sheet</v>
      </c>
    </row>
    <row r="27" spans="2:5" ht="15" x14ac:dyDescent="0.25">
      <c r="B27">
        <v>25</v>
      </c>
      <c r="C27" t="str" cm="1">
        <f t="array" ref="C27">IF(ISERR(INDEX(Sheets,B27)),"-",INDEX(Sheets,B27))</f>
        <v>-</v>
      </c>
      <c r="E27" s="18" t="str">
        <f t="shared" si="0"/>
        <v>Go To Sheet</v>
      </c>
    </row>
    <row r="28" spans="2:5" ht="15" x14ac:dyDescent="0.25">
      <c r="B28">
        <v>26</v>
      </c>
      <c r="C28" t="str" cm="1">
        <f t="array" ref="C28">IF(ISERR(INDEX(Sheets,B28)),"-",INDEX(Sheets,B28))</f>
        <v>-</v>
      </c>
      <c r="E28" s="18" t="str">
        <f t="shared" si="0"/>
        <v>Go To Sheet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C50A1-DA6A-4E31-A3CF-783339C91F8D}">
  <dimension ref="B1:G32"/>
  <sheetViews>
    <sheetView workbookViewId="0">
      <selection activeCell="B1" sqref="B1"/>
    </sheetView>
  </sheetViews>
  <sheetFormatPr defaultRowHeight="14.25" x14ac:dyDescent="0.2"/>
  <cols>
    <col min="2" max="2" width="12" customWidth="1"/>
    <col min="3" max="3" width="23" customWidth="1"/>
    <col min="4" max="6" width="14.25" customWidth="1"/>
    <col min="7" max="7" width="13.5" customWidth="1"/>
  </cols>
  <sheetData>
    <row r="1" spans="2:7" ht="15" x14ac:dyDescent="0.25">
      <c r="B1" s="18" t="str">
        <f>HYPERLINK("#'"&amp;'Master Sheet'!C3&amp;"'!A1","Home")</f>
        <v>Home</v>
      </c>
    </row>
    <row r="2" spans="2:7" x14ac:dyDescent="0.2">
      <c r="B2" t="s">
        <v>250</v>
      </c>
      <c r="C2" t="s">
        <v>249</v>
      </c>
      <c r="D2" t="s">
        <v>248</v>
      </c>
      <c r="E2" t="s">
        <v>246</v>
      </c>
      <c r="F2" t="s">
        <v>247</v>
      </c>
      <c r="G2" s="14" t="s">
        <v>252</v>
      </c>
    </row>
    <row r="3" spans="2:7" x14ac:dyDescent="0.2">
      <c r="B3">
        <v>1</v>
      </c>
      <c r="C3" t="s">
        <v>112</v>
      </c>
      <c r="D3" t="s">
        <v>251</v>
      </c>
      <c r="E3">
        <v>1</v>
      </c>
      <c r="G3" s="14"/>
    </row>
    <row r="4" spans="2:7" x14ac:dyDescent="0.2">
      <c r="B4">
        <v>2</v>
      </c>
      <c r="C4" t="s">
        <v>113</v>
      </c>
      <c r="D4" t="s">
        <v>251</v>
      </c>
      <c r="E4">
        <v>1</v>
      </c>
      <c r="G4" s="14"/>
    </row>
    <row r="5" spans="2:7" x14ac:dyDescent="0.2">
      <c r="B5">
        <v>3</v>
      </c>
      <c r="C5" t="s">
        <v>114</v>
      </c>
      <c r="D5" t="s">
        <v>251</v>
      </c>
      <c r="G5" s="14"/>
    </row>
    <row r="6" spans="2:7" x14ac:dyDescent="0.2">
      <c r="B6">
        <v>4</v>
      </c>
      <c r="C6" t="s">
        <v>103</v>
      </c>
      <c r="D6" t="s">
        <v>251</v>
      </c>
      <c r="F6">
        <v>1</v>
      </c>
      <c r="G6" s="14"/>
    </row>
    <row r="7" spans="2:7" x14ac:dyDescent="0.2">
      <c r="B7">
        <v>5</v>
      </c>
      <c r="C7" t="s">
        <v>115</v>
      </c>
      <c r="D7" t="s">
        <v>251</v>
      </c>
      <c r="F7">
        <v>1</v>
      </c>
      <c r="G7" s="14"/>
    </row>
    <row r="8" spans="2:7" x14ac:dyDescent="0.2">
      <c r="B8">
        <v>6</v>
      </c>
      <c r="C8" t="s">
        <v>109</v>
      </c>
      <c r="D8" t="s">
        <v>251</v>
      </c>
      <c r="F8">
        <v>1</v>
      </c>
      <c r="G8" s="14"/>
    </row>
    <row r="9" spans="2:7" x14ac:dyDescent="0.2">
      <c r="B9">
        <v>7</v>
      </c>
      <c r="C9" t="s">
        <v>122</v>
      </c>
      <c r="D9" t="s">
        <v>251</v>
      </c>
      <c r="F9">
        <v>1</v>
      </c>
      <c r="G9" s="14"/>
    </row>
    <row r="10" spans="2:7" x14ac:dyDescent="0.2">
      <c r="B10">
        <v>8</v>
      </c>
      <c r="C10" t="s">
        <v>118</v>
      </c>
      <c r="D10" t="s">
        <v>251</v>
      </c>
      <c r="F10">
        <v>1</v>
      </c>
      <c r="G10" s="14"/>
    </row>
    <row r="11" spans="2:7" x14ac:dyDescent="0.2">
      <c r="B11">
        <v>9</v>
      </c>
      <c r="C11" t="s">
        <v>119</v>
      </c>
      <c r="D11" t="s">
        <v>251</v>
      </c>
      <c r="F11">
        <v>1</v>
      </c>
      <c r="G11" s="14"/>
    </row>
    <row r="12" spans="2:7" x14ac:dyDescent="0.2">
      <c r="B12">
        <v>10</v>
      </c>
      <c r="C12" t="s">
        <v>120</v>
      </c>
      <c r="D12" t="s">
        <v>251</v>
      </c>
      <c r="F12">
        <v>1</v>
      </c>
      <c r="G12" s="14"/>
    </row>
    <row r="13" spans="2:7" x14ac:dyDescent="0.2">
      <c r="B13">
        <v>11</v>
      </c>
      <c r="C13" t="s">
        <v>121</v>
      </c>
      <c r="D13" t="s">
        <v>251</v>
      </c>
      <c r="F13">
        <v>1</v>
      </c>
      <c r="G13" s="14"/>
    </row>
    <row r="14" spans="2:7" x14ac:dyDescent="0.2">
      <c r="B14">
        <v>12</v>
      </c>
      <c r="C14" t="s">
        <v>123</v>
      </c>
      <c r="D14" t="s">
        <v>251</v>
      </c>
      <c r="F14">
        <v>1</v>
      </c>
      <c r="G14" s="14"/>
    </row>
    <row r="15" spans="2:7" x14ac:dyDescent="0.2">
      <c r="B15">
        <v>13</v>
      </c>
      <c r="C15" t="s">
        <v>124</v>
      </c>
      <c r="D15" t="s">
        <v>251</v>
      </c>
      <c r="F15">
        <v>1</v>
      </c>
      <c r="G15" s="14"/>
    </row>
    <row r="16" spans="2:7" x14ac:dyDescent="0.2">
      <c r="B16">
        <v>14</v>
      </c>
      <c r="C16" t="s">
        <v>125</v>
      </c>
      <c r="D16" t="s">
        <v>251</v>
      </c>
      <c r="F16">
        <v>1</v>
      </c>
      <c r="G16" s="14"/>
    </row>
    <row r="17" spans="2:7" x14ac:dyDescent="0.2">
      <c r="B17">
        <v>15</v>
      </c>
      <c r="G17" s="14"/>
    </row>
    <row r="18" spans="2:7" x14ac:dyDescent="0.2">
      <c r="B18">
        <v>16</v>
      </c>
      <c r="G18" s="14"/>
    </row>
    <row r="19" spans="2:7" x14ac:dyDescent="0.2">
      <c r="B19">
        <v>17</v>
      </c>
      <c r="G19" s="14"/>
    </row>
    <row r="20" spans="2:7" x14ac:dyDescent="0.2">
      <c r="B20">
        <v>18</v>
      </c>
      <c r="G20" s="14"/>
    </row>
    <row r="21" spans="2:7" x14ac:dyDescent="0.2">
      <c r="B21">
        <v>19</v>
      </c>
      <c r="G21" s="14"/>
    </row>
    <row r="22" spans="2:7" x14ac:dyDescent="0.2">
      <c r="B22">
        <v>20</v>
      </c>
      <c r="G22" s="14"/>
    </row>
    <row r="23" spans="2:7" x14ac:dyDescent="0.2">
      <c r="B23">
        <v>21</v>
      </c>
      <c r="G23" s="14"/>
    </row>
    <row r="24" spans="2:7" x14ac:dyDescent="0.2">
      <c r="B24">
        <v>22</v>
      </c>
      <c r="G24" s="14"/>
    </row>
    <row r="25" spans="2:7" x14ac:dyDescent="0.2">
      <c r="B25">
        <v>23</v>
      </c>
      <c r="G25" s="14"/>
    </row>
    <row r="26" spans="2:7" x14ac:dyDescent="0.2">
      <c r="B26">
        <v>24</v>
      </c>
      <c r="G26" s="14"/>
    </row>
    <row r="27" spans="2:7" x14ac:dyDescent="0.2">
      <c r="B27">
        <v>25</v>
      </c>
      <c r="G27" s="14"/>
    </row>
    <row r="28" spans="2:7" x14ac:dyDescent="0.2">
      <c r="B28">
        <v>26</v>
      </c>
      <c r="G28" s="14"/>
    </row>
    <row r="29" spans="2:7" x14ac:dyDescent="0.2">
      <c r="B29">
        <v>27</v>
      </c>
      <c r="G29" s="14"/>
    </row>
    <row r="30" spans="2:7" x14ac:dyDescent="0.2">
      <c r="B30">
        <v>28</v>
      </c>
      <c r="G30" s="14"/>
    </row>
    <row r="31" spans="2:7" x14ac:dyDescent="0.2">
      <c r="B31">
        <v>29</v>
      </c>
      <c r="G31" s="14"/>
    </row>
    <row r="32" spans="2:7" x14ac:dyDescent="0.2">
      <c r="B32">
        <v>30</v>
      </c>
      <c r="G32" s="1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2C625-992C-4F4A-B5EA-B2514210F5E4}">
  <sheetPr codeName="Sheet2"/>
  <dimension ref="B1:Y24"/>
  <sheetViews>
    <sheetView showGridLines="0" zoomScale="70" zoomScaleNormal="70" workbookViewId="0">
      <selection activeCell="B1" sqref="B1"/>
    </sheetView>
  </sheetViews>
  <sheetFormatPr defaultRowHeight="15" x14ac:dyDescent="0.25"/>
  <cols>
    <col min="1" max="1" width="3.625" style="10" customWidth="1"/>
    <col min="2" max="2" width="11.375" style="11" customWidth="1"/>
    <col min="3" max="3" width="14.125" style="11" customWidth="1"/>
    <col min="4" max="4" width="9" style="10"/>
    <col min="5" max="5" width="28.25" style="12" customWidth="1"/>
    <col min="6" max="7" width="28.25" style="10" customWidth="1"/>
    <col min="8" max="8" width="11.875" style="10" customWidth="1"/>
    <col min="9" max="9" width="8.625" style="10" customWidth="1"/>
    <col min="10" max="10" width="12.875" style="10" customWidth="1"/>
    <col min="11" max="11" width="14.125" style="10" customWidth="1"/>
    <col min="12" max="16384" width="9" style="10"/>
  </cols>
  <sheetData>
    <row r="1" spans="2:25" x14ac:dyDescent="0.25">
      <c r="B1" s="18" t="str">
        <f>HYPERLINK("#'"&amp;'Master Sheet'!C3&amp;"'!A1","Home")</f>
        <v>Home</v>
      </c>
      <c r="D1" s="12"/>
      <c r="E1" s="10"/>
    </row>
    <row r="2" spans="2:25" s="8" customFormat="1" ht="150" x14ac:dyDescent="0.2">
      <c r="B2" s="7" t="s">
        <v>100</v>
      </c>
      <c r="C2" s="7" t="s">
        <v>26</v>
      </c>
      <c r="D2" s="7" t="s">
        <v>12</v>
      </c>
      <c r="E2" s="7" t="s">
        <v>13</v>
      </c>
      <c r="F2" s="7" t="s">
        <v>14</v>
      </c>
      <c r="G2" s="16" t="s">
        <v>94</v>
      </c>
      <c r="H2" s="16" t="s">
        <v>95</v>
      </c>
      <c r="I2" s="16" t="s">
        <v>96</v>
      </c>
      <c r="J2" s="16" t="s">
        <v>97</v>
      </c>
      <c r="K2" s="16" t="s">
        <v>98</v>
      </c>
      <c r="L2" s="16" t="s">
        <v>99</v>
      </c>
      <c r="M2" s="7" t="s">
        <v>82</v>
      </c>
      <c r="N2" s="7" t="s">
        <v>83</v>
      </c>
      <c r="O2" s="7" t="s">
        <v>84</v>
      </c>
      <c r="P2" s="7" t="s">
        <v>81</v>
      </c>
      <c r="Q2" s="7" t="s">
        <v>85</v>
      </c>
      <c r="R2" s="7" t="s">
        <v>86</v>
      </c>
      <c r="S2" s="7" t="s">
        <v>87</v>
      </c>
      <c r="T2" s="7" t="s">
        <v>88</v>
      </c>
      <c r="U2" s="7" t="s">
        <v>89</v>
      </c>
      <c r="V2" s="7" t="s">
        <v>90</v>
      </c>
      <c r="W2" s="7" t="s">
        <v>91</v>
      </c>
      <c r="X2" s="7" t="s">
        <v>92</v>
      </c>
      <c r="Y2" s="7" t="s">
        <v>93</v>
      </c>
    </row>
    <row r="3" spans="2:25" s="9" customFormat="1" ht="28.5" x14ac:dyDescent="0.2">
      <c r="B3" s="6"/>
      <c r="C3" s="6" t="s">
        <v>18</v>
      </c>
      <c r="D3" s="6" t="s">
        <v>15</v>
      </c>
      <c r="E3" s="6" t="s">
        <v>16</v>
      </c>
      <c r="F3" s="6" t="s">
        <v>17</v>
      </c>
      <c r="G3" s="15"/>
      <c r="H3" s="15"/>
      <c r="I3" s="15"/>
      <c r="J3" s="15"/>
      <c r="K3" s="15"/>
      <c r="L3" s="15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</row>
    <row r="4" spans="2:25" s="9" customFormat="1" ht="14.25" x14ac:dyDescent="0.2">
      <c r="B4" s="8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</row>
    <row r="5" spans="2:25" s="9" customFormat="1" ht="14.25" x14ac:dyDescent="0.2">
      <c r="B5" s="8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</row>
    <row r="6" spans="2:25" s="9" customFormat="1" ht="14.25" x14ac:dyDescent="0.2">
      <c r="B6" s="8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</row>
    <row r="7" spans="2:25" s="9" customFormat="1" ht="14.25" x14ac:dyDescent="0.2">
      <c r="B7" s="8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</row>
    <row r="8" spans="2:25" s="9" customFormat="1" ht="14.25" x14ac:dyDescent="0.2">
      <c r="B8" s="8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</row>
    <row r="9" spans="2:25" s="9" customFormat="1" ht="14.25" x14ac:dyDescent="0.2">
      <c r="B9" s="8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</row>
    <row r="10" spans="2:25" s="9" customFormat="1" ht="14.25" x14ac:dyDescent="0.2">
      <c r="B10" s="8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</row>
    <row r="11" spans="2:25" s="9" customFormat="1" ht="14.25" x14ac:dyDescent="0.2">
      <c r="B11" s="8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</row>
    <row r="12" spans="2:25" s="9" customFormat="1" ht="14.25" x14ac:dyDescent="0.2">
      <c r="B12" s="8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</row>
    <row r="13" spans="2:25" s="9" customFormat="1" ht="14.25" x14ac:dyDescent="0.2">
      <c r="B13" s="8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</row>
    <row r="14" spans="2:25" s="9" customFormat="1" ht="14.25" x14ac:dyDescent="0.2">
      <c r="B14" s="8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</row>
    <row r="15" spans="2:25" s="9" customFormat="1" ht="14.25" x14ac:dyDescent="0.2">
      <c r="B15" s="8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</row>
    <row r="16" spans="2:25" s="9" customFormat="1" ht="14.25" x14ac:dyDescent="0.2">
      <c r="B16" s="8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</row>
    <row r="17" spans="2:25" s="9" customFormat="1" ht="14.25" x14ac:dyDescent="0.2">
      <c r="B17" s="8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2:25" s="9" customFormat="1" ht="14.25" x14ac:dyDescent="0.2">
      <c r="B18" s="8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2:25" s="9" customFormat="1" ht="14.25" x14ac:dyDescent="0.2">
      <c r="B19" s="8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</row>
    <row r="20" spans="2:25" s="9" customFormat="1" ht="14.25" x14ac:dyDescent="0.2">
      <c r="B20" s="8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</row>
    <row r="21" spans="2:25" s="9" customFormat="1" ht="14.25" x14ac:dyDescent="0.2">
      <c r="B21" s="8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2:25" s="9" customFormat="1" ht="14.25" x14ac:dyDescent="0.2">
      <c r="B22" s="8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</row>
    <row r="23" spans="2:25" s="9" customFormat="1" ht="14.25" x14ac:dyDescent="0.2">
      <c r="B23" s="8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</row>
    <row r="24" spans="2:25" s="9" customFormat="1" ht="14.25" x14ac:dyDescent="0.2">
      <c r="B24" s="13"/>
      <c r="C24" s="13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79045-EE3D-447E-B6D9-E70AE425E1A1}">
  <sheetPr codeName="Sheet3"/>
  <dimension ref="B1:J25"/>
  <sheetViews>
    <sheetView showGridLines="0" workbookViewId="0">
      <selection activeCell="B1" sqref="B1"/>
    </sheetView>
  </sheetViews>
  <sheetFormatPr defaultRowHeight="14.25" x14ac:dyDescent="0.2"/>
  <cols>
    <col min="1" max="1" width="3.125" customWidth="1"/>
    <col min="2" max="6" width="22" style="3" customWidth="1"/>
    <col min="7" max="10" width="22" customWidth="1"/>
  </cols>
  <sheetData>
    <row r="1" spans="2:10" ht="15" x14ac:dyDescent="0.25">
      <c r="B1" s="18" t="str">
        <f>HYPERLINK("#'"&amp;'Master Sheet'!C3&amp;"'!A1","Home")</f>
        <v>Home</v>
      </c>
    </row>
    <row r="2" spans="2:10" x14ac:dyDescent="0.2">
      <c r="B2" s="3" t="s">
        <v>25</v>
      </c>
      <c r="C2" s="3" t="s">
        <v>26</v>
      </c>
      <c r="D2" s="3" t="s">
        <v>12</v>
      </c>
      <c r="E2" s="3" t="s">
        <v>33</v>
      </c>
      <c r="F2" s="3" t="s">
        <v>31</v>
      </c>
      <c r="G2" t="s">
        <v>29</v>
      </c>
      <c r="H2" t="s">
        <v>30</v>
      </c>
      <c r="I2" t="s">
        <v>36</v>
      </c>
      <c r="J2" t="s">
        <v>37</v>
      </c>
    </row>
    <row r="3" spans="2:10" x14ac:dyDescent="0.2">
      <c r="B3" s="3" t="s">
        <v>18</v>
      </c>
      <c r="C3" s="3" t="s">
        <v>28</v>
      </c>
      <c r="D3" s="3" t="s">
        <v>32</v>
      </c>
      <c r="E3" s="3" t="s">
        <v>34</v>
      </c>
      <c r="F3" s="3" t="s">
        <v>35</v>
      </c>
      <c r="G3">
        <v>99590</v>
      </c>
      <c r="H3" s="5">
        <f>SUM(Table2[Distance From Previous])</f>
        <v>1479.7292292319912</v>
      </c>
      <c r="I3" s="3" t="s">
        <v>38</v>
      </c>
      <c r="J3" s="3" t="s">
        <v>38</v>
      </c>
    </row>
    <row r="4" spans="2:10" x14ac:dyDescent="0.2">
      <c r="H4" s="5">
        <f>SUM(Table2[Distance From Previous])</f>
        <v>1479.7292292319912</v>
      </c>
      <c r="I4" s="3"/>
      <c r="J4" s="3"/>
    </row>
    <row r="5" spans="2:10" x14ac:dyDescent="0.2">
      <c r="H5" s="5">
        <f>SUM(Table2[Distance From Previous])</f>
        <v>1479.7292292319912</v>
      </c>
      <c r="I5" s="3"/>
      <c r="J5" s="3"/>
    </row>
    <row r="6" spans="2:10" x14ac:dyDescent="0.2">
      <c r="H6" s="5"/>
      <c r="I6" s="3"/>
      <c r="J6" s="3"/>
    </row>
    <row r="7" spans="2:10" x14ac:dyDescent="0.2">
      <c r="H7" s="5"/>
      <c r="I7" s="3"/>
      <c r="J7" s="3"/>
    </row>
    <row r="8" spans="2:10" x14ac:dyDescent="0.2">
      <c r="H8" s="5"/>
      <c r="I8" s="3"/>
      <c r="J8" s="3"/>
    </row>
    <row r="9" spans="2:10" x14ac:dyDescent="0.2">
      <c r="H9" s="5"/>
      <c r="I9" s="3"/>
      <c r="J9" s="3"/>
    </row>
    <row r="10" spans="2:10" x14ac:dyDescent="0.2">
      <c r="H10" s="5"/>
      <c r="I10" s="3"/>
      <c r="J10" s="3"/>
    </row>
    <row r="11" spans="2:10" x14ac:dyDescent="0.2">
      <c r="H11" s="5"/>
      <c r="I11" s="3"/>
      <c r="J11" s="3"/>
    </row>
    <row r="12" spans="2:10" x14ac:dyDescent="0.2">
      <c r="H12" s="5"/>
      <c r="I12" s="3"/>
      <c r="J12" s="3"/>
    </row>
    <row r="13" spans="2:10" x14ac:dyDescent="0.2">
      <c r="H13" s="5"/>
      <c r="I13" s="3"/>
      <c r="J13" s="3"/>
    </row>
    <row r="14" spans="2:10" x14ac:dyDescent="0.2">
      <c r="H14" s="5"/>
      <c r="I14" s="3"/>
      <c r="J14" s="3"/>
    </row>
    <row r="15" spans="2:10" x14ac:dyDescent="0.2">
      <c r="H15" s="5"/>
      <c r="I15" s="3"/>
      <c r="J15" s="3"/>
    </row>
    <row r="16" spans="2:10" x14ac:dyDescent="0.2">
      <c r="H16" s="5"/>
      <c r="I16" s="3"/>
      <c r="J16" s="3"/>
    </row>
    <row r="17" spans="8:10" x14ac:dyDescent="0.2">
      <c r="H17" s="5"/>
      <c r="I17" s="3"/>
      <c r="J17" s="3"/>
    </row>
    <row r="18" spans="8:10" x14ac:dyDescent="0.2">
      <c r="H18" s="5"/>
      <c r="I18" s="3"/>
      <c r="J18" s="3"/>
    </row>
    <row r="19" spans="8:10" x14ac:dyDescent="0.2">
      <c r="H19" s="5"/>
      <c r="I19" s="3"/>
      <c r="J19" s="3"/>
    </row>
    <row r="20" spans="8:10" x14ac:dyDescent="0.2">
      <c r="H20" s="5"/>
      <c r="I20" s="3"/>
      <c r="J20" s="3"/>
    </row>
    <row r="21" spans="8:10" x14ac:dyDescent="0.2">
      <c r="H21" s="5"/>
      <c r="I21" s="3"/>
      <c r="J21" s="3"/>
    </row>
    <row r="22" spans="8:10" x14ac:dyDescent="0.2">
      <c r="H22" s="5"/>
      <c r="I22" s="3"/>
      <c r="J22" s="3"/>
    </row>
    <row r="23" spans="8:10" x14ac:dyDescent="0.2">
      <c r="H23" s="5"/>
      <c r="I23" s="3"/>
      <c r="J23" s="3"/>
    </row>
    <row r="24" spans="8:10" x14ac:dyDescent="0.2">
      <c r="H24" s="5"/>
      <c r="I24" s="3"/>
      <c r="J24" s="3"/>
    </row>
    <row r="25" spans="8:10" x14ac:dyDescent="0.2">
      <c r="H25" s="5"/>
      <c r="I25" s="3"/>
      <c r="J25" s="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1B170-B1F1-4487-B22B-1C791AF4B20B}">
  <sheetPr codeName="Sheet4"/>
  <dimension ref="B1:O19"/>
  <sheetViews>
    <sheetView showGridLines="0" zoomScaleNormal="100" workbookViewId="0">
      <selection activeCell="B1" sqref="B1"/>
    </sheetView>
  </sheetViews>
  <sheetFormatPr defaultRowHeight="14.25" x14ac:dyDescent="0.2"/>
  <cols>
    <col min="1" max="1" width="3.25" customWidth="1"/>
    <col min="2" max="4" width="14.25" customWidth="1"/>
    <col min="5" max="6" width="13.25" style="3" customWidth="1"/>
    <col min="7" max="7" width="11.625" style="3" customWidth="1"/>
    <col min="10" max="10" width="16.5" customWidth="1"/>
    <col min="11" max="12" width="17.5" style="1" customWidth="1"/>
    <col min="13" max="13" width="10.25" style="2" customWidth="1"/>
    <col min="14" max="14" width="12.25" style="2" customWidth="1"/>
    <col min="15" max="15" width="22.5" customWidth="1"/>
  </cols>
  <sheetData>
    <row r="1" spans="2:15" ht="15" x14ac:dyDescent="0.25">
      <c r="B1" s="18" t="str">
        <f>HYPERLINK("#'"&amp;'Master Sheet'!C3&amp;"'!A1","Home")</f>
        <v>Home</v>
      </c>
      <c r="C1" s="3"/>
      <c r="D1" s="3"/>
      <c r="G1"/>
      <c r="J1" s="1"/>
      <c r="L1" s="2"/>
      <c r="N1"/>
    </row>
    <row r="2" spans="2:15" s="7" customFormat="1" ht="45" x14ac:dyDescent="0.2">
      <c r="B2" s="20" t="s">
        <v>129</v>
      </c>
      <c r="C2" s="20" t="s">
        <v>146</v>
      </c>
      <c r="D2" s="20" t="s">
        <v>147</v>
      </c>
      <c r="E2" s="20" t="s">
        <v>127</v>
      </c>
      <c r="F2" s="20" t="s">
        <v>128</v>
      </c>
      <c r="G2" s="7" t="s">
        <v>126</v>
      </c>
      <c r="H2" s="7" t="s">
        <v>23</v>
      </c>
      <c r="I2" s="7" t="s">
        <v>24</v>
      </c>
      <c r="J2" s="21" t="s">
        <v>19</v>
      </c>
      <c r="K2" s="21" t="s">
        <v>20</v>
      </c>
      <c r="L2" s="22" t="s">
        <v>21</v>
      </c>
      <c r="M2" s="22" t="s">
        <v>22</v>
      </c>
      <c r="N2" s="7" t="s">
        <v>78</v>
      </c>
      <c r="O2" s="7" t="s">
        <v>79</v>
      </c>
    </row>
    <row r="3" spans="2:15" x14ac:dyDescent="0.2">
      <c r="B3" s="3" t="s">
        <v>130</v>
      </c>
      <c r="C3" s="3" t="s">
        <v>145</v>
      </c>
      <c r="D3" s="3" t="s">
        <v>144</v>
      </c>
      <c r="E3" s="3" t="s">
        <v>18</v>
      </c>
      <c r="F3" s="3" t="s">
        <v>27</v>
      </c>
      <c r="G3">
        <v>1</v>
      </c>
      <c r="J3" s="1">
        <v>1198163.1000000001</v>
      </c>
      <c r="K3" s="1">
        <v>613544.05000000005</v>
      </c>
      <c r="L3" s="2">
        <f>K3-$K$3</f>
        <v>0</v>
      </c>
      <c r="M3" s="2">
        <f>J3-$J$3</f>
        <v>0</v>
      </c>
      <c r="N3" s="5">
        <f>IFERROR(SQRT(POWER(ABS(Table2[[#This Row],[Decade X]]-L2),2)+POWER(ABS(Table2[[#This Row],[Decade Y]]-M2),2)),0)</f>
        <v>0</v>
      </c>
      <c r="O3" t="s">
        <v>80</v>
      </c>
    </row>
    <row r="4" spans="2:15" x14ac:dyDescent="0.2">
      <c r="B4" s="3" t="s">
        <v>145</v>
      </c>
      <c r="C4" s="3" t="s">
        <v>131</v>
      </c>
      <c r="D4" s="3" t="s">
        <v>130</v>
      </c>
      <c r="E4" s="3" t="s">
        <v>18</v>
      </c>
      <c r="F4" s="3" t="s">
        <v>27</v>
      </c>
      <c r="G4">
        <v>2</v>
      </c>
      <c r="J4" s="1">
        <v>1198190.6000000001</v>
      </c>
      <c r="K4" s="1">
        <v>613420.36</v>
      </c>
      <c r="L4" s="2">
        <f t="shared" ref="L4:L18" si="0">K4-$K$3</f>
        <v>-123.69000000006054</v>
      </c>
      <c r="M4" s="2">
        <f t="shared" ref="M4:M18" si="1">J4-$J$3</f>
        <v>27.5</v>
      </c>
      <c r="N4" s="5">
        <f>IFERROR(SQRT(POWER(ABS(Table2[[#This Row],[Decade X]]-L3),2)+POWER(ABS(Table2[[#This Row],[Decade Y]]-M3),2)),0)</f>
        <v>126.71016573272634</v>
      </c>
      <c r="O4" t="s">
        <v>80</v>
      </c>
    </row>
    <row r="5" spans="2:15" x14ac:dyDescent="0.2">
      <c r="B5" s="3" t="s">
        <v>131</v>
      </c>
      <c r="C5" s="3" t="s">
        <v>132</v>
      </c>
      <c r="D5" s="3" t="s">
        <v>145</v>
      </c>
      <c r="E5" s="3" t="s">
        <v>18</v>
      </c>
      <c r="F5" s="3" t="s">
        <v>27</v>
      </c>
      <c r="G5">
        <v>3</v>
      </c>
      <c r="J5" s="1">
        <v>1198188.45</v>
      </c>
      <c r="K5" s="1">
        <v>613394.35</v>
      </c>
      <c r="L5" s="2">
        <f t="shared" si="0"/>
        <v>-149.70000000006985</v>
      </c>
      <c r="M5" s="2">
        <f t="shared" si="1"/>
        <v>25.349999999860302</v>
      </c>
      <c r="N5" s="5">
        <f>IFERROR(SQRT(POWER(ABS(Table2[[#This Row],[Decade X]]-L4),2)+POWER(ABS(Table2[[#This Row],[Decade Y]]-M4),2)),0)</f>
        <v>26.098708780341703</v>
      </c>
      <c r="O5" t="s">
        <v>80</v>
      </c>
    </row>
    <row r="6" spans="2:15" x14ac:dyDescent="0.2">
      <c r="B6" s="3" t="s">
        <v>132</v>
      </c>
      <c r="C6" s="3" t="s">
        <v>133</v>
      </c>
      <c r="D6" s="3" t="s">
        <v>131</v>
      </c>
      <c r="E6" s="3" t="s">
        <v>18</v>
      </c>
      <c r="F6" s="3" t="s">
        <v>27</v>
      </c>
      <c r="G6">
        <v>4</v>
      </c>
      <c r="J6" s="1">
        <v>1198171.95</v>
      </c>
      <c r="K6" s="1">
        <v>613374.14</v>
      </c>
      <c r="L6" s="2">
        <f t="shared" si="0"/>
        <v>-169.9100000000326</v>
      </c>
      <c r="M6" s="2">
        <f t="shared" si="1"/>
        <v>8.8499999998603016</v>
      </c>
      <c r="N6" s="5">
        <f>IFERROR(SQRT(POWER(ABS(Table2[[#This Row],[Decade X]]-L5),2)+POWER(ABS(Table2[[#This Row],[Decade Y]]-M5),2)),0)</f>
        <v>26.090114986302652</v>
      </c>
      <c r="O6" t="s">
        <v>80</v>
      </c>
    </row>
    <row r="7" spans="2:15" x14ac:dyDescent="0.2">
      <c r="B7" s="3" t="s">
        <v>133</v>
      </c>
      <c r="C7" s="3" t="s">
        <v>134</v>
      </c>
      <c r="D7" s="3" t="s">
        <v>132</v>
      </c>
      <c r="E7" s="3" t="s">
        <v>18</v>
      </c>
      <c r="F7" s="3" t="s">
        <v>27</v>
      </c>
      <c r="G7">
        <v>5</v>
      </c>
      <c r="J7" s="1">
        <v>1198002.1299999999</v>
      </c>
      <c r="K7" s="1">
        <v>613261.61</v>
      </c>
      <c r="L7" s="2">
        <f t="shared" si="0"/>
        <v>-282.44000000006054</v>
      </c>
      <c r="M7" s="2">
        <f t="shared" si="1"/>
        <v>-160.97000000020489</v>
      </c>
      <c r="N7" s="5">
        <f>IFERROR(SQRT(POWER(ABS(Table2[[#This Row],[Decade X]]-L6),2)+POWER(ABS(Table2[[#This Row],[Decade Y]]-M6),2)),0)</f>
        <v>203.71998748288897</v>
      </c>
      <c r="O7" t="s">
        <v>80</v>
      </c>
    </row>
    <row r="8" spans="2:15" x14ac:dyDescent="0.2">
      <c r="B8" s="3" t="s">
        <v>134</v>
      </c>
      <c r="C8" s="3" t="s">
        <v>135</v>
      </c>
      <c r="D8" s="3" t="s">
        <v>133</v>
      </c>
      <c r="E8" s="3" t="s">
        <v>18</v>
      </c>
      <c r="F8" s="3" t="s">
        <v>27</v>
      </c>
      <c r="G8">
        <v>6</v>
      </c>
      <c r="J8" s="1">
        <v>1197967.04</v>
      </c>
      <c r="K8" s="1">
        <v>613255.63</v>
      </c>
      <c r="L8" s="2">
        <f t="shared" si="0"/>
        <v>-288.42000000004191</v>
      </c>
      <c r="M8" s="2">
        <f t="shared" si="1"/>
        <v>-196.06000000005588</v>
      </c>
      <c r="N8" s="5">
        <f>IFERROR(SQRT(POWER(ABS(Table2[[#This Row],[Decade X]]-L7),2)+POWER(ABS(Table2[[#This Row],[Decade Y]]-M7),2)),0)</f>
        <v>35.595905663282679</v>
      </c>
      <c r="O8" t="s">
        <v>80</v>
      </c>
    </row>
    <row r="9" spans="2:15" x14ac:dyDescent="0.2">
      <c r="B9" s="3" t="s">
        <v>135</v>
      </c>
      <c r="C9" s="3" t="s">
        <v>136</v>
      </c>
      <c r="D9" s="3" t="s">
        <v>134</v>
      </c>
      <c r="E9" s="3" t="s">
        <v>18</v>
      </c>
      <c r="F9" s="3" t="s">
        <v>27</v>
      </c>
      <c r="G9">
        <v>7</v>
      </c>
      <c r="J9" s="1">
        <v>1197939.01</v>
      </c>
      <c r="K9" s="1">
        <v>613277.55000000005</v>
      </c>
      <c r="L9" s="2">
        <f t="shared" si="0"/>
        <v>-266.5</v>
      </c>
      <c r="M9" s="2">
        <f t="shared" si="1"/>
        <v>-224.09000000008382</v>
      </c>
      <c r="N9" s="5">
        <f>IFERROR(SQRT(POWER(ABS(Table2[[#This Row],[Decade X]]-L8),2)+POWER(ABS(Table2[[#This Row],[Decade Y]]-M8),2)),0)</f>
        <v>35.583244652552466</v>
      </c>
      <c r="O9" t="s">
        <v>80</v>
      </c>
    </row>
    <row r="10" spans="2:15" x14ac:dyDescent="0.2">
      <c r="B10" s="3" t="s">
        <v>136</v>
      </c>
      <c r="C10" s="3" t="s">
        <v>137</v>
      </c>
      <c r="D10" s="3" t="s">
        <v>135</v>
      </c>
      <c r="E10" s="3" t="s">
        <v>18</v>
      </c>
      <c r="F10" s="3" t="s">
        <v>27</v>
      </c>
      <c r="G10">
        <v>8</v>
      </c>
      <c r="J10" s="1">
        <v>1197935.55</v>
      </c>
      <c r="K10" s="1">
        <v>613284.03</v>
      </c>
      <c r="L10" s="2">
        <f t="shared" si="0"/>
        <v>-260.02000000001863</v>
      </c>
      <c r="M10" s="2">
        <f t="shared" si="1"/>
        <v>-227.55000000004657</v>
      </c>
      <c r="N10" s="5">
        <f>IFERROR(SQRT(POWER(ABS(Table2[[#This Row],[Decade X]]-L9),2)+POWER(ABS(Table2[[#This Row],[Decade Y]]-M9),2)),0)</f>
        <v>7.3458832007799311</v>
      </c>
      <c r="O10" t="s">
        <v>80</v>
      </c>
    </row>
    <row r="11" spans="2:15" x14ac:dyDescent="0.2">
      <c r="B11" s="3" t="s">
        <v>137</v>
      </c>
      <c r="C11" s="3" t="s">
        <v>138</v>
      </c>
      <c r="D11" s="3" t="s">
        <v>136</v>
      </c>
      <c r="E11" s="3" t="s">
        <v>18</v>
      </c>
      <c r="F11" s="3" t="s">
        <v>27</v>
      </c>
      <c r="G11">
        <v>9</v>
      </c>
      <c r="J11" s="1">
        <v>1197922.05</v>
      </c>
      <c r="K11" s="1">
        <v>613309.31000000006</v>
      </c>
      <c r="L11" s="2">
        <f t="shared" si="0"/>
        <v>-234.73999999999069</v>
      </c>
      <c r="M11" s="2">
        <f t="shared" si="1"/>
        <v>-241.05000000004657</v>
      </c>
      <c r="N11" s="5">
        <f>IFERROR(SQRT(POWER(ABS(Table2[[#This Row],[Decade X]]-L10),2)+POWER(ABS(Table2[[#This Row],[Decade Y]]-M10),2)),0)</f>
        <v>28.658827610378843</v>
      </c>
      <c r="O11" t="s">
        <v>80</v>
      </c>
    </row>
    <row r="12" spans="2:15" x14ac:dyDescent="0.2">
      <c r="B12" s="3" t="s">
        <v>138</v>
      </c>
      <c r="C12" s="3" t="s">
        <v>139</v>
      </c>
      <c r="D12" s="3" t="s">
        <v>137</v>
      </c>
      <c r="E12" s="3" t="s">
        <v>18</v>
      </c>
      <c r="F12" s="3" t="s">
        <v>27</v>
      </c>
      <c r="G12">
        <v>10</v>
      </c>
      <c r="J12" s="1">
        <v>1197917.3700000001</v>
      </c>
      <c r="K12" s="1">
        <v>613318.71</v>
      </c>
      <c r="L12" s="2">
        <f t="shared" si="0"/>
        <v>-225.34000000008382</v>
      </c>
      <c r="M12" s="2">
        <f t="shared" si="1"/>
        <v>-245.72999999998137</v>
      </c>
      <c r="N12" s="5">
        <f>IFERROR(SQRT(POWER(ABS(Table2[[#This Row],[Decade X]]-L11),2)+POWER(ABS(Table2[[#This Row],[Decade Y]]-M11),2)),0)</f>
        <v>10.500590459476024</v>
      </c>
      <c r="O12" t="s">
        <v>80</v>
      </c>
    </row>
    <row r="13" spans="2:15" x14ac:dyDescent="0.2">
      <c r="B13" s="3" t="s">
        <v>139</v>
      </c>
      <c r="C13" s="3" t="s">
        <v>140</v>
      </c>
      <c r="D13" s="3" t="s">
        <v>138</v>
      </c>
      <c r="E13" s="3" t="s">
        <v>18</v>
      </c>
      <c r="F13" s="3" t="s">
        <v>27</v>
      </c>
      <c r="G13">
        <v>11</v>
      </c>
      <c r="J13" s="1">
        <v>1197913.23</v>
      </c>
      <c r="K13" s="1">
        <v>613328.35</v>
      </c>
      <c r="L13" s="2">
        <f t="shared" si="0"/>
        <v>-215.70000000006985</v>
      </c>
      <c r="M13" s="2">
        <f t="shared" si="1"/>
        <v>-249.87000000011176</v>
      </c>
      <c r="N13" s="5">
        <f>IFERROR(SQRT(POWER(ABS(Table2[[#This Row],[Decade X]]-L12),2)+POWER(ABS(Table2[[#This Row],[Decade Y]]-M12),2)),0)</f>
        <v>10.491386943648058</v>
      </c>
      <c r="O13" t="s">
        <v>80</v>
      </c>
    </row>
    <row r="14" spans="2:15" x14ac:dyDescent="0.2">
      <c r="B14" s="3" t="s">
        <v>140</v>
      </c>
      <c r="C14" s="3" t="s">
        <v>141</v>
      </c>
      <c r="D14" s="3" t="s">
        <v>139</v>
      </c>
      <c r="E14" s="3" t="s">
        <v>18</v>
      </c>
      <c r="F14" s="3" t="s">
        <v>27</v>
      </c>
      <c r="G14">
        <v>12</v>
      </c>
      <c r="J14" s="1">
        <v>1197821.03</v>
      </c>
      <c r="K14" s="1">
        <v>613561.51</v>
      </c>
      <c r="L14" s="2">
        <f t="shared" si="0"/>
        <v>17.459999999962747</v>
      </c>
      <c r="M14" s="2">
        <f t="shared" si="1"/>
        <v>-342.07000000006519</v>
      </c>
      <c r="N14" s="5">
        <f>IFERROR(SQRT(POWER(ABS(Table2[[#This Row],[Decade X]]-L13),2)+POWER(ABS(Table2[[#This Row],[Decade Y]]-M13),2)),0)</f>
        <v>250.72779183809402</v>
      </c>
      <c r="O14" t="s">
        <v>80</v>
      </c>
    </row>
    <row r="15" spans="2:15" x14ac:dyDescent="0.2">
      <c r="B15" s="3" t="s">
        <v>141</v>
      </c>
      <c r="C15" s="3" t="s">
        <v>142</v>
      </c>
      <c r="D15" s="3" t="s">
        <v>140</v>
      </c>
      <c r="E15" s="3" t="s">
        <v>18</v>
      </c>
      <c r="F15" s="3" t="s">
        <v>27</v>
      </c>
      <c r="G15">
        <v>13</v>
      </c>
      <c r="J15" s="1">
        <v>1197806.07</v>
      </c>
      <c r="K15" s="1">
        <v>613585.93999999994</v>
      </c>
      <c r="L15" s="2">
        <f t="shared" si="0"/>
        <v>41.889999999897555</v>
      </c>
      <c r="M15" s="2">
        <f t="shared" si="1"/>
        <v>-357.03000000002794</v>
      </c>
      <c r="N15" s="5">
        <f>IFERROR(SQRT(POWER(ABS(Table2[[#This Row],[Decade X]]-L14),2)+POWER(ABS(Table2[[#This Row],[Decade Y]]-M14),2)),0)</f>
        <v>28.646579202335836</v>
      </c>
      <c r="O15" t="s">
        <v>80</v>
      </c>
    </row>
    <row r="16" spans="2:15" x14ac:dyDescent="0.2">
      <c r="B16" s="3" t="s">
        <v>142</v>
      </c>
      <c r="C16" s="3" t="s">
        <v>143</v>
      </c>
      <c r="D16" s="3" t="s">
        <v>141</v>
      </c>
      <c r="E16" s="3" t="s">
        <v>18</v>
      </c>
      <c r="F16" s="3" t="s">
        <v>27</v>
      </c>
      <c r="G16">
        <v>14</v>
      </c>
      <c r="J16" s="1">
        <v>1197784.57</v>
      </c>
      <c r="K16" s="1">
        <v>613604.87</v>
      </c>
      <c r="L16" s="2">
        <f t="shared" si="0"/>
        <v>60.819999999948777</v>
      </c>
      <c r="M16" s="2">
        <f t="shared" si="1"/>
        <v>-378.53000000002794</v>
      </c>
      <c r="N16" s="5">
        <f>IFERROR(SQRT(POWER(ABS(Table2[[#This Row],[Decade X]]-L15),2)+POWER(ABS(Table2[[#This Row],[Decade Y]]-M15),2)),0)</f>
        <v>28.646027647859647</v>
      </c>
      <c r="O16" t="s">
        <v>80</v>
      </c>
    </row>
    <row r="17" spans="2:15" x14ac:dyDescent="0.2">
      <c r="B17" s="3" t="s">
        <v>143</v>
      </c>
      <c r="C17" s="3" t="s">
        <v>144</v>
      </c>
      <c r="D17" s="3" t="s">
        <v>142</v>
      </c>
      <c r="E17" s="3" t="s">
        <v>18</v>
      </c>
      <c r="F17" s="3" t="s">
        <v>27</v>
      </c>
      <c r="G17">
        <v>15</v>
      </c>
      <c r="J17" s="1">
        <v>1197927.71</v>
      </c>
      <c r="K17" s="1">
        <v>613777.46</v>
      </c>
      <c r="L17" s="2">
        <f t="shared" si="0"/>
        <v>233.40999999991618</v>
      </c>
      <c r="M17" s="2">
        <f t="shared" si="1"/>
        <v>-235.39000000013039</v>
      </c>
      <c r="N17" s="5">
        <f>IFERROR(SQRT(POWER(ABS(Table2[[#This Row],[Decade X]]-L16),2)+POWER(ABS(Table2[[#This Row],[Decade Y]]-M16),2)),0)</f>
        <v>224.22392312141767</v>
      </c>
      <c r="O17" t="s">
        <v>80</v>
      </c>
    </row>
    <row r="18" spans="2:15" x14ac:dyDescent="0.2">
      <c r="B18" s="3" t="s">
        <v>144</v>
      </c>
      <c r="C18" s="3" t="s">
        <v>130</v>
      </c>
      <c r="D18" s="3" t="s">
        <v>143</v>
      </c>
      <c r="E18" s="3" t="s">
        <v>18</v>
      </c>
      <c r="F18" s="3" t="s">
        <v>27</v>
      </c>
      <c r="G18">
        <v>16</v>
      </c>
      <c r="J18" s="1">
        <v>1198039.3600000001</v>
      </c>
      <c r="K18" s="1">
        <v>613495.11</v>
      </c>
      <c r="L18" s="2">
        <f t="shared" si="0"/>
        <v>-48.940000000060536</v>
      </c>
      <c r="M18" s="2">
        <f t="shared" si="1"/>
        <v>-123.73999999999069</v>
      </c>
      <c r="N18" s="5">
        <f>IFERROR(SQRT(POWER(ABS(Table2[[#This Row],[Decade X]]-L17),2)+POWER(ABS(Table2[[#This Row],[Decade Y]]-M17),2)),0)</f>
        <v>303.62352510966281</v>
      </c>
      <c r="O18" t="s">
        <v>80</v>
      </c>
    </row>
    <row r="19" spans="2:15" x14ac:dyDescent="0.2">
      <c r="B19" s="3"/>
      <c r="C19" s="3"/>
      <c r="D19" s="3"/>
      <c r="E19" s="3" t="s">
        <v>18</v>
      </c>
      <c r="F19" s="3" t="s">
        <v>27</v>
      </c>
      <c r="G19">
        <v>1</v>
      </c>
      <c r="J19" s="1">
        <v>1198163.1000000001</v>
      </c>
      <c r="K19" s="1">
        <v>613544.05000000005</v>
      </c>
      <c r="L19" s="2">
        <f>K19-$K$3</f>
        <v>0</v>
      </c>
      <c r="M19" s="2">
        <f>J19-$J$3</f>
        <v>0</v>
      </c>
      <c r="N19" s="5">
        <f>IFERROR(SQRT(POWER(ABS(Table2[[#This Row],[Decade X]]-L18),2)+POWER(ABS(Table2[[#This Row],[Decade Y]]-M18),2)),0)</f>
        <v>133.06656680024332</v>
      </c>
      <c r="O19" t="s">
        <v>80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068A-7EB5-4405-9702-B843F2601A65}">
  <sheetPr codeName="Sheet5"/>
  <dimension ref="B1:F21"/>
  <sheetViews>
    <sheetView showGridLines="0" workbookViewId="0">
      <selection activeCell="B1" sqref="B1"/>
    </sheetView>
  </sheetViews>
  <sheetFormatPr defaultRowHeight="14.25" x14ac:dyDescent="0.2"/>
  <cols>
    <col min="1" max="1" width="2.875" customWidth="1"/>
    <col min="3" max="4" width="11.875" style="3" customWidth="1"/>
    <col min="5" max="5" width="11.375" style="3" customWidth="1"/>
    <col min="6" max="6" width="14.375" customWidth="1"/>
    <col min="7" max="7" width="14.875" customWidth="1"/>
  </cols>
  <sheetData>
    <row r="1" spans="2:6" ht="15" x14ac:dyDescent="0.25">
      <c r="B1" s="18" t="str">
        <f>HYPERLINK("#'"&amp;'Master Sheet'!C3&amp;"'!A1","Home")</f>
        <v>Home</v>
      </c>
      <c r="E1"/>
    </row>
    <row r="2" spans="2:6" s="6" customFormat="1" ht="45" x14ac:dyDescent="0.25">
      <c r="B2" s="19" t="s">
        <v>182</v>
      </c>
      <c r="C2" s="19" t="s">
        <v>127</v>
      </c>
      <c r="D2" s="19" t="s">
        <v>196</v>
      </c>
      <c r="E2" s="6" t="s">
        <v>195</v>
      </c>
      <c r="F2" s="6" t="s">
        <v>194</v>
      </c>
    </row>
    <row r="3" spans="2:6" x14ac:dyDescent="0.2">
      <c r="B3" s="3" t="s">
        <v>183</v>
      </c>
      <c r="C3" s="3" t="s">
        <v>18</v>
      </c>
      <c r="D3" s="3" t="s">
        <v>11</v>
      </c>
      <c r="E3">
        <v>-4500</v>
      </c>
    </row>
    <row r="4" spans="2:6" x14ac:dyDescent="0.2">
      <c r="B4" s="3" t="s">
        <v>184</v>
      </c>
      <c r="C4" s="3" t="s">
        <v>18</v>
      </c>
      <c r="D4" s="3" t="s">
        <v>10</v>
      </c>
      <c r="E4">
        <v>-1300</v>
      </c>
    </row>
    <row r="5" spans="2:6" x14ac:dyDescent="0.2">
      <c r="B5" s="3" t="s">
        <v>185</v>
      </c>
      <c r="C5" s="3" t="s">
        <v>18</v>
      </c>
      <c r="D5" s="3" t="s">
        <v>9</v>
      </c>
      <c r="E5">
        <v>-1150</v>
      </c>
      <c r="F5">
        <v>3700</v>
      </c>
    </row>
    <row r="6" spans="2:6" x14ac:dyDescent="0.2">
      <c r="B6" s="3" t="s">
        <v>186</v>
      </c>
      <c r="C6" s="3" t="s">
        <v>18</v>
      </c>
      <c r="D6" s="3" t="s">
        <v>1</v>
      </c>
      <c r="E6">
        <v>0</v>
      </c>
      <c r="F6">
        <v>4850</v>
      </c>
    </row>
    <row r="7" spans="2:6" x14ac:dyDescent="0.2">
      <c r="B7" s="3" t="s">
        <v>187</v>
      </c>
      <c r="C7" s="3" t="s">
        <v>18</v>
      </c>
      <c r="D7" s="3" t="s">
        <v>2</v>
      </c>
      <c r="E7">
        <v>3600</v>
      </c>
    </row>
    <row r="8" spans="2:6" x14ac:dyDescent="0.2">
      <c r="B8" s="3" t="s">
        <v>188</v>
      </c>
      <c r="C8" s="3" t="s">
        <v>18</v>
      </c>
      <c r="D8" s="3" t="s">
        <v>3</v>
      </c>
      <c r="E8">
        <v>7200</v>
      </c>
    </row>
    <row r="9" spans="2:6" x14ac:dyDescent="0.2">
      <c r="B9" s="3" t="s">
        <v>189</v>
      </c>
      <c r="C9" s="3" t="s">
        <v>18</v>
      </c>
      <c r="D9" s="3" t="s">
        <v>4</v>
      </c>
      <c r="E9">
        <v>10800</v>
      </c>
    </row>
    <row r="10" spans="2:6" x14ac:dyDescent="0.2">
      <c r="B10" s="3" t="s">
        <v>190</v>
      </c>
      <c r="C10" s="3" t="s">
        <v>18</v>
      </c>
      <c r="D10" s="3" t="s">
        <v>5</v>
      </c>
      <c r="E10">
        <v>14400</v>
      </c>
    </row>
    <row r="11" spans="2:6" x14ac:dyDescent="0.2">
      <c r="B11" s="3" t="s">
        <v>191</v>
      </c>
      <c r="C11" s="3" t="s">
        <v>18</v>
      </c>
      <c r="D11" s="3" t="s">
        <v>6</v>
      </c>
      <c r="E11">
        <v>18000</v>
      </c>
    </row>
    <row r="12" spans="2:6" x14ac:dyDescent="0.2">
      <c r="B12" s="3" t="s">
        <v>192</v>
      </c>
      <c r="C12" s="3" t="s">
        <v>18</v>
      </c>
      <c r="D12" s="3" t="s">
        <v>8</v>
      </c>
      <c r="E12">
        <v>21600</v>
      </c>
    </row>
    <row r="13" spans="2:6" x14ac:dyDescent="0.2">
      <c r="B13" s="3" t="s">
        <v>193</v>
      </c>
      <c r="C13" s="3" t="s">
        <v>18</v>
      </c>
      <c r="D13" s="3" t="s">
        <v>7</v>
      </c>
      <c r="E13">
        <v>25000</v>
      </c>
    </row>
    <row r="14" spans="2:6" x14ac:dyDescent="0.2">
      <c r="B14" s="3"/>
      <c r="E14"/>
    </row>
    <row r="15" spans="2:6" x14ac:dyDescent="0.2">
      <c r="B15" s="3"/>
      <c r="E15"/>
    </row>
    <row r="16" spans="2:6" x14ac:dyDescent="0.2">
      <c r="B16" s="3"/>
      <c r="E16"/>
    </row>
    <row r="17" spans="2:5" x14ac:dyDescent="0.2">
      <c r="B17" s="3"/>
      <c r="E17"/>
    </row>
    <row r="18" spans="2:5" x14ac:dyDescent="0.2">
      <c r="B18" s="3"/>
      <c r="E18"/>
    </row>
    <row r="19" spans="2:5" x14ac:dyDescent="0.2">
      <c r="B19" s="3"/>
      <c r="E19"/>
    </row>
    <row r="20" spans="2:5" x14ac:dyDescent="0.2">
      <c r="B20" s="3"/>
      <c r="E20"/>
    </row>
    <row r="21" spans="2:5" x14ac:dyDescent="0.2">
      <c r="B21" s="3"/>
      <c r="E21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B4C24-07CD-421A-97A7-2A6DF32F4E0A}">
  <sheetPr codeName="Sheet7"/>
  <dimension ref="B1:E34"/>
  <sheetViews>
    <sheetView showGridLines="0" workbookViewId="0">
      <selection activeCell="B1" sqref="B1"/>
    </sheetView>
  </sheetViews>
  <sheetFormatPr defaultRowHeight="14.25" x14ac:dyDescent="0.2"/>
  <cols>
    <col min="1" max="1" width="3.375" customWidth="1"/>
    <col min="2" max="2" width="13.625" customWidth="1"/>
    <col min="3" max="3" width="14.625" style="3" customWidth="1"/>
    <col min="4" max="4" width="12.75" style="3" customWidth="1"/>
    <col min="5" max="5" width="12.625" style="4" customWidth="1"/>
    <col min="6" max="6" width="14.25" customWidth="1"/>
    <col min="7" max="7" width="14.375" customWidth="1"/>
  </cols>
  <sheetData>
    <row r="1" spans="2:5" ht="15" x14ac:dyDescent="0.25">
      <c r="B1" s="18" t="str">
        <f>HYPERLINK("#'"&amp;'Master Sheet'!C3&amp;"'!A1","Home")</f>
        <v>Home</v>
      </c>
      <c r="E1"/>
    </row>
    <row r="2" spans="2:5" x14ac:dyDescent="0.2">
      <c r="B2" s="3" t="s">
        <v>148</v>
      </c>
      <c r="C2" s="3" t="s">
        <v>127</v>
      </c>
      <c r="D2" s="3" t="s">
        <v>181</v>
      </c>
      <c r="E2"/>
    </row>
    <row r="3" spans="2:5" x14ac:dyDescent="0.2">
      <c r="B3" s="3" t="s">
        <v>149</v>
      </c>
      <c r="C3" s="3" t="s">
        <v>18</v>
      </c>
      <c r="D3" s="3" t="s">
        <v>0</v>
      </c>
      <c r="E3"/>
    </row>
    <row r="4" spans="2:5" x14ac:dyDescent="0.2">
      <c r="B4" s="3" t="s">
        <v>150</v>
      </c>
      <c r="C4" s="3" t="s">
        <v>18</v>
      </c>
      <c r="D4" s="3" t="s">
        <v>45</v>
      </c>
      <c r="E4"/>
    </row>
    <row r="5" spans="2:5" x14ac:dyDescent="0.2">
      <c r="B5" s="3" t="s">
        <v>151</v>
      </c>
      <c r="C5" s="3" t="s">
        <v>18</v>
      </c>
      <c r="D5" s="3" t="s">
        <v>46</v>
      </c>
      <c r="E5"/>
    </row>
    <row r="6" spans="2:5" x14ac:dyDescent="0.2">
      <c r="B6" s="3" t="s">
        <v>152</v>
      </c>
      <c r="C6" s="3" t="s">
        <v>18</v>
      </c>
      <c r="D6" s="3" t="s">
        <v>47</v>
      </c>
      <c r="E6"/>
    </row>
    <row r="7" spans="2:5" x14ac:dyDescent="0.2">
      <c r="B7" s="3" t="s">
        <v>153</v>
      </c>
      <c r="C7" s="3" t="s">
        <v>18</v>
      </c>
      <c r="D7" s="3" t="s">
        <v>48</v>
      </c>
      <c r="E7"/>
    </row>
    <row r="8" spans="2:5" x14ac:dyDescent="0.2">
      <c r="B8" s="3" t="s">
        <v>154</v>
      </c>
      <c r="C8" s="3" t="s">
        <v>18</v>
      </c>
      <c r="D8" s="3" t="s">
        <v>49</v>
      </c>
      <c r="E8"/>
    </row>
    <row r="9" spans="2:5" x14ac:dyDescent="0.2">
      <c r="B9" s="3" t="s">
        <v>155</v>
      </c>
      <c r="C9" s="3" t="s">
        <v>18</v>
      </c>
      <c r="D9" s="3" t="s">
        <v>50</v>
      </c>
      <c r="E9"/>
    </row>
    <row r="10" spans="2:5" x14ac:dyDescent="0.2">
      <c r="B10" s="3" t="s">
        <v>156</v>
      </c>
      <c r="C10" s="3" t="s">
        <v>18</v>
      </c>
      <c r="D10" s="3" t="s">
        <v>51</v>
      </c>
      <c r="E10"/>
    </row>
    <row r="11" spans="2:5" x14ac:dyDescent="0.2">
      <c r="B11" s="3" t="s">
        <v>157</v>
      </c>
      <c r="C11" s="3" t="s">
        <v>18</v>
      </c>
      <c r="D11" s="3" t="s">
        <v>52</v>
      </c>
      <c r="E11"/>
    </row>
    <row r="12" spans="2:5" x14ac:dyDescent="0.2">
      <c r="B12" s="3" t="s">
        <v>158</v>
      </c>
      <c r="C12" s="3" t="s">
        <v>18</v>
      </c>
      <c r="D12" s="3" t="s">
        <v>53</v>
      </c>
      <c r="E12"/>
    </row>
    <row r="13" spans="2:5" x14ac:dyDescent="0.2">
      <c r="B13" s="3" t="s">
        <v>159</v>
      </c>
      <c r="C13" s="3" t="s">
        <v>18</v>
      </c>
      <c r="D13" s="3" t="s">
        <v>54</v>
      </c>
      <c r="E13"/>
    </row>
    <row r="14" spans="2:5" x14ac:dyDescent="0.2">
      <c r="B14" s="3" t="s">
        <v>160</v>
      </c>
      <c r="C14" s="3" t="s">
        <v>18</v>
      </c>
      <c r="D14" s="3" t="s">
        <v>55</v>
      </c>
      <c r="E14"/>
    </row>
    <row r="15" spans="2:5" x14ac:dyDescent="0.2">
      <c r="B15" s="3" t="s">
        <v>161</v>
      </c>
      <c r="C15" s="3" t="s">
        <v>18</v>
      </c>
      <c r="D15" s="3" t="s">
        <v>56</v>
      </c>
      <c r="E15"/>
    </row>
    <row r="16" spans="2:5" x14ac:dyDescent="0.2">
      <c r="B16" s="3" t="s">
        <v>162</v>
      </c>
      <c r="C16" s="3" t="s">
        <v>18</v>
      </c>
      <c r="D16" s="3" t="s">
        <v>57</v>
      </c>
      <c r="E16"/>
    </row>
    <row r="17" spans="2:5" x14ac:dyDescent="0.2">
      <c r="B17" s="3" t="s">
        <v>163</v>
      </c>
      <c r="C17" s="3" t="s">
        <v>18</v>
      </c>
      <c r="D17" s="3" t="s">
        <v>58</v>
      </c>
      <c r="E17"/>
    </row>
    <row r="18" spans="2:5" x14ac:dyDescent="0.2">
      <c r="B18" s="3" t="s">
        <v>164</v>
      </c>
      <c r="C18" s="3" t="s">
        <v>18</v>
      </c>
      <c r="D18" s="3" t="s">
        <v>59</v>
      </c>
      <c r="E18"/>
    </row>
    <row r="19" spans="2:5" x14ac:dyDescent="0.2">
      <c r="B19" s="3" t="s">
        <v>165</v>
      </c>
      <c r="C19" s="3" t="s">
        <v>18</v>
      </c>
      <c r="D19" s="3" t="s">
        <v>60</v>
      </c>
      <c r="E19"/>
    </row>
    <row r="20" spans="2:5" x14ac:dyDescent="0.2">
      <c r="B20" s="3" t="s">
        <v>166</v>
      </c>
      <c r="C20" s="3" t="s">
        <v>18</v>
      </c>
      <c r="D20" s="3" t="s">
        <v>61</v>
      </c>
      <c r="E20"/>
    </row>
    <row r="21" spans="2:5" x14ac:dyDescent="0.2">
      <c r="B21" s="3" t="s">
        <v>167</v>
      </c>
      <c r="C21" s="3" t="s">
        <v>18</v>
      </c>
      <c r="D21" s="3" t="s">
        <v>62</v>
      </c>
      <c r="E21"/>
    </row>
    <row r="22" spans="2:5" x14ac:dyDescent="0.2">
      <c r="B22" s="3" t="s">
        <v>168</v>
      </c>
      <c r="C22" s="3" t="s">
        <v>18</v>
      </c>
      <c r="D22" s="3" t="s">
        <v>63</v>
      </c>
      <c r="E22"/>
    </row>
    <row r="23" spans="2:5" x14ac:dyDescent="0.2">
      <c r="B23" s="3" t="s">
        <v>169</v>
      </c>
      <c r="C23" s="3" t="s">
        <v>18</v>
      </c>
      <c r="D23" s="3" t="s">
        <v>64</v>
      </c>
      <c r="E23"/>
    </row>
    <row r="24" spans="2:5" x14ac:dyDescent="0.2">
      <c r="B24" s="3" t="s">
        <v>170</v>
      </c>
      <c r="C24" s="3" t="s">
        <v>18</v>
      </c>
      <c r="D24" s="3" t="s">
        <v>65</v>
      </c>
      <c r="E24"/>
    </row>
    <row r="25" spans="2:5" x14ac:dyDescent="0.2">
      <c r="B25" s="3" t="s">
        <v>171</v>
      </c>
      <c r="C25" s="3" t="s">
        <v>18</v>
      </c>
      <c r="D25" s="3" t="s">
        <v>66</v>
      </c>
      <c r="E25"/>
    </row>
    <row r="26" spans="2:5" x14ac:dyDescent="0.2">
      <c r="B26" s="3" t="s">
        <v>172</v>
      </c>
      <c r="C26" s="3" t="s">
        <v>18</v>
      </c>
      <c r="D26" s="3" t="s">
        <v>67</v>
      </c>
      <c r="E26"/>
    </row>
    <row r="27" spans="2:5" x14ac:dyDescent="0.2">
      <c r="B27" s="3" t="s">
        <v>173</v>
      </c>
      <c r="C27" s="3" t="s">
        <v>18</v>
      </c>
      <c r="D27" s="3" t="s">
        <v>68</v>
      </c>
      <c r="E27"/>
    </row>
    <row r="28" spans="2:5" x14ac:dyDescent="0.2">
      <c r="B28" s="3" t="s">
        <v>174</v>
      </c>
      <c r="C28" s="3" t="s">
        <v>18</v>
      </c>
      <c r="D28" s="3" t="s">
        <v>69</v>
      </c>
      <c r="E28"/>
    </row>
    <row r="29" spans="2:5" x14ac:dyDescent="0.2">
      <c r="B29" s="3" t="s">
        <v>175</v>
      </c>
      <c r="C29" s="3" t="s">
        <v>18</v>
      </c>
      <c r="D29" s="3" t="s">
        <v>70</v>
      </c>
      <c r="E29"/>
    </row>
    <row r="30" spans="2:5" x14ac:dyDescent="0.2">
      <c r="B30" s="3" t="s">
        <v>176</v>
      </c>
      <c r="C30" s="3" t="s">
        <v>18</v>
      </c>
      <c r="D30" s="3" t="s">
        <v>71</v>
      </c>
      <c r="E30"/>
    </row>
    <row r="31" spans="2:5" x14ac:dyDescent="0.2">
      <c r="B31" s="3" t="s">
        <v>177</v>
      </c>
      <c r="C31" s="3" t="s">
        <v>18</v>
      </c>
      <c r="D31" s="3" t="s">
        <v>72</v>
      </c>
      <c r="E31"/>
    </row>
    <row r="32" spans="2:5" x14ac:dyDescent="0.2">
      <c r="B32" s="3" t="s">
        <v>178</v>
      </c>
      <c r="C32" s="3" t="s">
        <v>18</v>
      </c>
      <c r="D32" s="3" t="s">
        <v>73</v>
      </c>
      <c r="E32"/>
    </row>
    <row r="33" spans="2:5" x14ac:dyDescent="0.2">
      <c r="B33" s="3" t="s">
        <v>179</v>
      </c>
      <c r="C33" s="3" t="s">
        <v>18</v>
      </c>
      <c r="D33" s="3" t="s">
        <v>74</v>
      </c>
      <c r="E33"/>
    </row>
    <row r="34" spans="2:5" x14ac:dyDescent="0.2">
      <c r="B34" s="3" t="s">
        <v>180</v>
      </c>
      <c r="C34" s="3" t="s">
        <v>18</v>
      </c>
      <c r="D34" s="3" t="s">
        <v>75</v>
      </c>
      <c r="E34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8DDEA-00D0-4790-AAFC-DCC4860C63CB}">
  <sheetPr codeName="Sheet8"/>
  <dimension ref="B1:I39"/>
  <sheetViews>
    <sheetView showGridLines="0" workbookViewId="0">
      <selection activeCell="B1" sqref="B1"/>
    </sheetView>
  </sheetViews>
  <sheetFormatPr defaultRowHeight="14.25" x14ac:dyDescent="0.2"/>
  <cols>
    <col min="1" max="1" width="3" customWidth="1"/>
    <col min="2" max="2" width="11.375" customWidth="1"/>
    <col min="3" max="4" width="13.875" customWidth="1"/>
    <col min="5" max="6" width="13" customWidth="1"/>
    <col min="8" max="8" width="12.25" customWidth="1"/>
    <col min="9" max="9" width="16.5" customWidth="1"/>
  </cols>
  <sheetData>
    <row r="1" spans="2:9" ht="15" x14ac:dyDescent="0.25">
      <c r="B1" s="18" t="str">
        <f>HYPERLINK("#'"&amp;'Master Sheet'!C3&amp;"'!A1","Home")</f>
        <v>Home</v>
      </c>
    </row>
    <row r="2" spans="2:9" x14ac:dyDescent="0.2">
      <c r="B2" t="s">
        <v>76</v>
      </c>
      <c r="C2" t="s">
        <v>39</v>
      </c>
      <c r="D2" t="s">
        <v>41</v>
      </c>
      <c r="E2" t="s">
        <v>40</v>
      </c>
      <c r="F2" t="s">
        <v>42</v>
      </c>
      <c r="G2" t="s">
        <v>43</v>
      </c>
      <c r="H2" t="s">
        <v>44</v>
      </c>
      <c r="I2" t="s">
        <v>77</v>
      </c>
    </row>
    <row r="3" spans="2:9" x14ac:dyDescent="0.2">
      <c r="B3" t="e">
        <f>#REF!</f>
        <v>#REF!</v>
      </c>
    </row>
    <row r="4" spans="2:9" x14ac:dyDescent="0.2">
      <c r="B4" t="e">
        <f>#REF!</f>
        <v>#REF!</v>
      </c>
    </row>
    <row r="5" spans="2:9" x14ac:dyDescent="0.2">
      <c r="B5" t="e">
        <f>#REF!</f>
        <v>#REF!</v>
      </c>
    </row>
    <row r="6" spans="2:9" x14ac:dyDescent="0.2">
      <c r="B6" t="e">
        <f>#REF!</f>
        <v>#REF!</v>
      </c>
    </row>
    <row r="7" spans="2:9" x14ac:dyDescent="0.2">
      <c r="B7" t="e">
        <f>#REF!</f>
        <v>#REF!</v>
      </c>
    </row>
    <row r="8" spans="2:9" x14ac:dyDescent="0.2">
      <c r="B8" t="e">
        <f>#REF!</f>
        <v>#REF!</v>
      </c>
    </row>
    <row r="9" spans="2:9" x14ac:dyDescent="0.2">
      <c r="B9" t="e">
        <f>#REF!</f>
        <v>#REF!</v>
      </c>
    </row>
    <row r="10" spans="2:9" x14ac:dyDescent="0.2">
      <c r="B10" t="e">
        <f>#REF!</f>
        <v>#REF!</v>
      </c>
    </row>
    <row r="11" spans="2:9" x14ac:dyDescent="0.2">
      <c r="B11" t="e">
        <f>#REF!</f>
        <v>#REF!</v>
      </c>
    </row>
    <row r="12" spans="2:9" x14ac:dyDescent="0.2">
      <c r="B12" t="e">
        <f>#REF!</f>
        <v>#REF!</v>
      </c>
    </row>
    <row r="13" spans="2:9" x14ac:dyDescent="0.2">
      <c r="B13" t="e">
        <f>#REF!</f>
        <v>#REF!</v>
      </c>
    </row>
    <row r="14" spans="2:9" x14ac:dyDescent="0.2">
      <c r="B14" t="e">
        <f>#REF!</f>
        <v>#REF!</v>
      </c>
    </row>
    <row r="15" spans="2:9" x14ac:dyDescent="0.2">
      <c r="B15" t="e">
        <f>#REF!</f>
        <v>#REF!</v>
      </c>
    </row>
    <row r="16" spans="2:9" x14ac:dyDescent="0.2">
      <c r="B16" t="e">
        <f>#REF!</f>
        <v>#REF!</v>
      </c>
    </row>
    <row r="17" spans="2:2" x14ac:dyDescent="0.2">
      <c r="B17" t="e">
        <f>#REF!</f>
        <v>#REF!</v>
      </c>
    </row>
    <row r="18" spans="2:2" x14ac:dyDescent="0.2">
      <c r="B18" t="e">
        <f>#REF!</f>
        <v>#REF!</v>
      </c>
    </row>
    <row r="19" spans="2:2" x14ac:dyDescent="0.2">
      <c r="B19" t="e">
        <f>#REF!</f>
        <v>#REF!</v>
      </c>
    </row>
    <row r="20" spans="2:2" x14ac:dyDescent="0.2">
      <c r="B20" t="e">
        <f>#REF!</f>
        <v>#REF!</v>
      </c>
    </row>
    <row r="21" spans="2:2" x14ac:dyDescent="0.2">
      <c r="B21" t="e">
        <f>#REF!</f>
        <v>#REF!</v>
      </c>
    </row>
    <row r="22" spans="2:2" x14ac:dyDescent="0.2">
      <c r="B22" t="e">
        <f>#REF!</f>
        <v>#REF!</v>
      </c>
    </row>
    <row r="23" spans="2:2" x14ac:dyDescent="0.2">
      <c r="B23" t="e">
        <f>#REF!</f>
        <v>#REF!</v>
      </c>
    </row>
    <row r="24" spans="2:2" x14ac:dyDescent="0.2">
      <c r="B24" t="e">
        <f>#REF!</f>
        <v>#REF!</v>
      </c>
    </row>
    <row r="25" spans="2:2" x14ac:dyDescent="0.2">
      <c r="B25" t="e">
        <f>#REF!</f>
        <v>#REF!</v>
      </c>
    </row>
    <row r="26" spans="2:2" x14ac:dyDescent="0.2">
      <c r="B26" t="e">
        <f>#REF!</f>
        <v>#REF!</v>
      </c>
    </row>
    <row r="27" spans="2:2" x14ac:dyDescent="0.2">
      <c r="B27" t="e">
        <f>#REF!</f>
        <v>#REF!</v>
      </c>
    </row>
    <row r="28" spans="2:2" x14ac:dyDescent="0.2">
      <c r="B28" t="e">
        <f>#REF!</f>
        <v>#REF!</v>
      </c>
    </row>
    <row r="29" spans="2:2" x14ac:dyDescent="0.2">
      <c r="B29" t="e">
        <f>#REF!</f>
        <v>#REF!</v>
      </c>
    </row>
    <row r="30" spans="2:2" x14ac:dyDescent="0.2">
      <c r="B30" t="e">
        <f>#REF!</f>
        <v>#REF!</v>
      </c>
    </row>
    <row r="31" spans="2:2" x14ac:dyDescent="0.2">
      <c r="B31" t="e">
        <f>#REF!</f>
        <v>#REF!</v>
      </c>
    </row>
    <row r="32" spans="2:2" x14ac:dyDescent="0.2">
      <c r="B32" t="e">
        <f>#REF!</f>
        <v>#REF!</v>
      </c>
    </row>
    <row r="33" spans="2:2" x14ac:dyDescent="0.2">
      <c r="B33" t="e">
        <f>#REF!</f>
        <v>#REF!</v>
      </c>
    </row>
    <row r="34" spans="2:2" x14ac:dyDescent="0.2">
      <c r="B34" t="e">
        <f>#REF!</f>
        <v>#REF!</v>
      </c>
    </row>
    <row r="35" spans="2:2" x14ac:dyDescent="0.2">
      <c r="B35" s="4"/>
    </row>
    <row r="36" spans="2:2" x14ac:dyDescent="0.2">
      <c r="B36" s="4"/>
    </row>
    <row r="37" spans="2:2" x14ac:dyDescent="0.2">
      <c r="B37" s="4"/>
    </row>
    <row r="38" spans="2:2" x14ac:dyDescent="0.2">
      <c r="B38" s="4"/>
    </row>
    <row r="39" spans="2:2" x14ac:dyDescent="0.2">
      <c r="B39" s="4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B3905-D671-4B63-A806-8BCD334ADAEB}">
  <sheetPr>
    <tabColor theme="1"/>
  </sheetPr>
  <dimension ref="B1:O2"/>
  <sheetViews>
    <sheetView workbookViewId="0">
      <selection activeCell="B1" sqref="B1"/>
    </sheetView>
  </sheetViews>
  <sheetFormatPr defaultRowHeight="14.25" x14ac:dyDescent="0.2"/>
  <cols>
    <col min="1" max="1" width="2.75" customWidth="1"/>
    <col min="2" max="2" width="12.625" customWidth="1"/>
    <col min="3" max="3" width="18.5" customWidth="1"/>
    <col min="4" max="4" width="15.25" customWidth="1"/>
    <col min="5" max="7" width="12.625" customWidth="1"/>
    <col min="8" max="8" width="13.25" customWidth="1"/>
    <col min="9" max="15" width="12.625" customWidth="1"/>
  </cols>
  <sheetData>
    <row r="1" spans="2:15" ht="15" x14ac:dyDescent="0.25">
      <c r="B1" s="18" t="str">
        <f>HYPERLINK("#'"&amp;'Master Sheet'!C3&amp;"'!A1","Home")</f>
        <v>Home</v>
      </c>
    </row>
    <row r="2" spans="2:15" s="17" customFormat="1" ht="15" x14ac:dyDescent="0.25">
      <c r="B2" s="17" t="s">
        <v>112</v>
      </c>
      <c r="C2" s="17" t="s">
        <v>113</v>
      </c>
      <c r="D2" s="17" t="s">
        <v>114</v>
      </c>
      <c r="E2" s="17" t="s">
        <v>103</v>
      </c>
      <c r="F2" s="17" t="s">
        <v>115</v>
      </c>
      <c r="G2" s="17" t="s">
        <v>109</v>
      </c>
      <c r="H2" s="17" t="s">
        <v>122</v>
      </c>
      <c r="I2" s="17" t="s">
        <v>118</v>
      </c>
      <c r="J2" s="17" t="s">
        <v>119</v>
      </c>
      <c r="K2" s="17" t="s">
        <v>120</v>
      </c>
      <c r="L2" s="17" t="s">
        <v>121</v>
      </c>
      <c r="M2" s="17" t="s">
        <v>123</v>
      </c>
      <c r="N2" s="17" t="s">
        <v>124</v>
      </c>
      <c r="O2" s="17" t="s">
        <v>125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BC65B-21A5-46B6-BEDE-D4B84EECCFEC}">
  <dimension ref="B1:D2"/>
  <sheetViews>
    <sheetView workbookViewId="0">
      <selection activeCell="B1" sqref="B1"/>
    </sheetView>
  </sheetViews>
  <sheetFormatPr defaultRowHeight="14.25" x14ac:dyDescent="0.2"/>
  <cols>
    <col min="1" max="1" width="2.75" customWidth="1"/>
    <col min="3" max="3" width="15.375" customWidth="1"/>
    <col min="4" max="4" width="12.375" customWidth="1"/>
  </cols>
  <sheetData>
    <row r="1" spans="2:4" ht="15" x14ac:dyDescent="0.25">
      <c r="B1" s="18" t="str">
        <f>HYPERLINK("#'"&amp;'Master Sheet'!C3&amp;"'!A1","Home")</f>
        <v>Home</v>
      </c>
    </row>
    <row r="2" spans="2:4" x14ac:dyDescent="0.2">
      <c r="B2" t="s">
        <v>103</v>
      </c>
      <c r="C2" t="s">
        <v>105</v>
      </c>
      <c r="D2" t="s">
        <v>104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C9818-79CF-4D93-8ABD-24BDA3E1FE48}">
  <dimension ref="B1:D2"/>
  <sheetViews>
    <sheetView workbookViewId="0">
      <selection activeCell="B1" sqref="B1"/>
    </sheetView>
  </sheetViews>
  <sheetFormatPr defaultRowHeight="14.25" x14ac:dyDescent="0.2"/>
  <cols>
    <col min="1" max="1" width="2.5" customWidth="1"/>
    <col min="2" max="2" width="18.75" customWidth="1"/>
    <col min="3" max="3" width="20.25" customWidth="1"/>
    <col min="4" max="4" width="17.875" customWidth="1"/>
  </cols>
  <sheetData>
    <row r="1" spans="2:4" ht="15" x14ac:dyDescent="0.25">
      <c r="B1" s="18" t="str">
        <f>HYPERLINK("#'"&amp;'Master Sheet'!C3&amp;"'!A1","Home")</f>
        <v>Home</v>
      </c>
    </row>
    <row r="2" spans="2:4" x14ac:dyDescent="0.2">
      <c r="B2" t="s">
        <v>106</v>
      </c>
      <c r="C2" t="s">
        <v>107</v>
      </c>
      <c r="D2" t="s">
        <v>108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10D6-423B-4A0D-A140-DB61FB17FB6E}">
  <dimension ref="B1:D2"/>
  <sheetViews>
    <sheetView workbookViewId="0">
      <selection activeCell="B1" sqref="B1"/>
    </sheetView>
  </sheetViews>
  <sheetFormatPr defaultRowHeight="14.25" x14ac:dyDescent="0.2"/>
  <cols>
    <col min="1" max="1" width="4" customWidth="1"/>
    <col min="2" max="2" width="13.625" customWidth="1"/>
    <col min="3" max="3" width="22.25" customWidth="1"/>
    <col min="4" max="4" width="22.5" customWidth="1"/>
  </cols>
  <sheetData>
    <row r="1" spans="2:4" ht="15" x14ac:dyDescent="0.25">
      <c r="B1" s="18" t="str">
        <f>HYPERLINK("#'"&amp;'Master Sheet'!C3&amp;"'!A1","Home")</f>
        <v>Home</v>
      </c>
    </row>
    <row r="2" spans="2:4" x14ac:dyDescent="0.2">
      <c r="B2" t="s">
        <v>109</v>
      </c>
      <c r="C2" t="s">
        <v>110</v>
      </c>
      <c r="D2" t="s">
        <v>111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7BEA7-24A0-465F-A8CD-80DF38C1C39F}">
  <sheetPr codeName="Sheet6"/>
  <dimension ref="B1:G45"/>
  <sheetViews>
    <sheetView topLeftCell="A21" workbookViewId="0">
      <selection activeCell="K19" sqref="K19"/>
    </sheetView>
  </sheetViews>
  <sheetFormatPr defaultRowHeight="14.25" x14ac:dyDescent="0.2"/>
  <cols>
    <col min="1" max="1" width="3.625" customWidth="1"/>
    <col min="2" max="2" width="11.125" customWidth="1"/>
    <col min="3" max="3" width="13.625" customWidth="1"/>
    <col min="4" max="4" width="13.75" customWidth="1"/>
    <col min="5" max="5" width="13" customWidth="1"/>
    <col min="6" max="6" width="9.625" customWidth="1"/>
    <col min="7" max="7" width="13.125" customWidth="1"/>
    <col min="8" max="8" width="8" customWidth="1"/>
  </cols>
  <sheetData>
    <row r="1" spans="2:7" ht="15" x14ac:dyDescent="0.25">
      <c r="B1" s="18" t="str">
        <f>HYPERLINK("#'"&amp;'Master Sheet'!C3&amp;"'!A1","Home")</f>
        <v>Home</v>
      </c>
    </row>
    <row r="2" spans="2:7" x14ac:dyDescent="0.2">
      <c r="B2" t="s">
        <v>199</v>
      </c>
      <c r="C2" t="s">
        <v>198</v>
      </c>
      <c r="D2" t="s">
        <v>243</v>
      </c>
      <c r="E2" t="s">
        <v>244</v>
      </c>
      <c r="F2" t="s">
        <v>197</v>
      </c>
      <c r="G2" t="s">
        <v>245</v>
      </c>
    </row>
    <row r="3" spans="2:7" x14ac:dyDescent="0.2">
      <c r="B3" t="s">
        <v>200</v>
      </c>
      <c r="C3" s="3" t="s">
        <v>183</v>
      </c>
      <c r="F3">
        <v>0</v>
      </c>
    </row>
    <row r="4" spans="2:7" x14ac:dyDescent="0.2">
      <c r="B4" t="s">
        <v>201</v>
      </c>
      <c r="C4" s="3" t="s">
        <v>184</v>
      </c>
      <c r="F4">
        <v>0</v>
      </c>
    </row>
    <row r="5" spans="2:7" x14ac:dyDescent="0.2">
      <c r="B5" t="s">
        <v>202</v>
      </c>
      <c r="C5" s="3" t="s">
        <v>185</v>
      </c>
      <c r="F5">
        <v>0</v>
      </c>
    </row>
    <row r="6" spans="2:7" x14ac:dyDescent="0.2">
      <c r="B6" t="s">
        <v>203</v>
      </c>
      <c r="C6" s="3" t="s">
        <v>186</v>
      </c>
      <c r="F6">
        <v>0</v>
      </c>
    </row>
    <row r="7" spans="2:7" x14ac:dyDescent="0.2">
      <c r="B7" t="s">
        <v>204</v>
      </c>
      <c r="C7" s="3" t="s">
        <v>187</v>
      </c>
      <c r="F7">
        <v>0</v>
      </c>
    </row>
    <row r="8" spans="2:7" x14ac:dyDescent="0.2">
      <c r="B8" t="s">
        <v>205</v>
      </c>
      <c r="C8" s="3" t="s">
        <v>188</v>
      </c>
      <c r="F8">
        <v>0</v>
      </c>
    </row>
    <row r="9" spans="2:7" x14ac:dyDescent="0.2">
      <c r="B9" t="s">
        <v>206</v>
      </c>
      <c r="C9" s="3" t="s">
        <v>189</v>
      </c>
      <c r="F9">
        <v>0</v>
      </c>
    </row>
    <row r="10" spans="2:7" x14ac:dyDescent="0.2">
      <c r="B10" t="s">
        <v>207</v>
      </c>
      <c r="C10" s="3" t="s">
        <v>190</v>
      </c>
      <c r="F10">
        <v>0</v>
      </c>
    </row>
    <row r="11" spans="2:7" x14ac:dyDescent="0.2">
      <c r="B11" t="s">
        <v>208</v>
      </c>
      <c r="C11" s="3" t="s">
        <v>191</v>
      </c>
      <c r="F11">
        <v>0</v>
      </c>
    </row>
    <row r="12" spans="2:7" x14ac:dyDescent="0.2">
      <c r="B12" t="s">
        <v>209</v>
      </c>
      <c r="C12" s="3" t="s">
        <v>192</v>
      </c>
      <c r="F12">
        <v>0</v>
      </c>
    </row>
    <row r="13" spans="2:7" x14ac:dyDescent="0.2">
      <c r="B13" t="s">
        <v>210</v>
      </c>
      <c r="C13" s="3" t="s">
        <v>193</v>
      </c>
      <c r="F13">
        <v>0</v>
      </c>
    </row>
    <row r="14" spans="2:7" x14ac:dyDescent="0.2">
      <c r="B14" t="s">
        <v>211</v>
      </c>
      <c r="C14" s="3" t="s">
        <v>149</v>
      </c>
      <c r="F14">
        <v>0</v>
      </c>
    </row>
    <row r="15" spans="2:7" x14ac:dyDescent="0.2">
      <c r="B15" t="s">
        <v>212</v>
      </c>
      <c r="C15" s="3" t="s">
        <v>150</v>
      </c>
      <c r="F15">
        <v>0</v>
      </c>
    </row>
    <row r="16" spans="2:7" x14ac:dyDescent="0.2">
      <c r="B16" t="s">
        <v>213</v>
      </c>
      <c r="C16" s="3" t="s">
        <v>151</v>
      </c>
      <c r="F16">
        <v>0</v>
      </c>
    </row>
    <row r="17" spans="2:6" x14ac:dyDescent="0.2">
      <c r="B17" t="s">
        <v>214</v>
      </c>
      <c r="C17" s="3" t="s">
        <v>152</v>
      </c>
      <c r="F17">
        <v>0</v>
      </c>
    </row>
    <row r="18" spans="2:6" x14ac:dyDescent="0.2">
      <c r="B18" t="s">
        <v>215</v>
      </c>
      <c r="C18" s="3" t="s">
        <v>153</v>
      </c>
      <c r="F18">
        <v>0</v>
      </c>
    </row>
    <row r="19" spans="2:6" x14ac:dyDescent="0.2">
      <c r="B19" t="s">
        <v>216</v>
      </c>
      <c r="C19" s="3" t="s">
        <v>154</v>
      </c>
      <c r="F19">
        <v>0</v>
      </c>
    </row>
    <row r="20" spans="2:6" x14ac:dyDescent="0.2">
      <c r="B20" t="s">
        <v>217</v>
      </c>
      <c r="C20" s="3" t="s">
        <v>155</v>
      </c>
      <c r="F20">
        <v>0</v>
      </c>
    </row>
    <row r="21" spans="2:6" x14ac:dyDescent="0.2">
      <c r="B21" t="s">
        <v>218</v>
      </c>
      <c r="C21" s="3" t="s">
        <v>156</v>
      </c>
      <c r="F21">
        <v>0</v>
      </c>
    </row>
    <row r="22" spans="2:6" x14ac:dyDescent="0.2">
      <c r="B22" t="s">
        <v>219</v>
      </c>
      <c r="C22" s="3" t="s">
        <v>157</v>
      </c>
      <c r="D22" s="4"/>
      <c r="F22">
        <v>0</v>
      </c>
    </row>
    <row r="23" spans="2:6" x14ac:dyDescent="0.2">
      <c r="B23" t="s">
        <v>220</v>
      </c>
      <c r="C23" s="3" t="s">
        <v>158</v>
      </c>
      <c r="D23" s="4"/>
      <c r="F23">
        <v>0</v>
      </c>
    </row>
    <row r="24" spans="2:6" x14ac:dyDescent="0.2">
      <c r="B24" t="s">
        <v>221</v>
      </c>
      <c r="C24" s="3" t="s">
        <v>159</v>
      </c>
      <c r="D24" s="4"/>
      <c r="F24">
        <v>0</v>
      </c>
    </row>
    <row r="25" spans="2:6" x14ac:dyDescent="0.2">
      <c r="B25" t="s">
        <v>222</v>
      </c>
      <c r="C25" s="3" t="s">
        <v>160</v>
      </c>
      <c r="D25" s="4"/>
      <c r="F25">
        <v>0</v>
      </c>
    </row>
    <row r="26" spans="2:6" x14ac:dyDescent="0.2">
      <c r="B26" t="s">
        <v>223</v>
      </c>
      <c r="C26" s="3" t="s">
        <v>161</v>
      </c>
      <c r="F26">
        <v>0</v>
      </c>
    </row>
    <row r="27" spans="2:6" x14ac:dyDescent="0.2">
      <c r="B27" t="s">
        <v>224</v>
      </c>
      <c r="C27" s="3" t="s">
        <v>162</v>
      </c>
      <c r="F27">
        <v>0</v>
      </c>
    </row>
    <row r="28" spans="2:6" x14ac:dyDescent="0.2">
      <c r="B28" t="s">
        <v>225</v>
      </c>
      <c r="C28" s="3" t="s">
        <v>163</v>
      </c>
      <c r="F28">
        <v>0</v>
      </c>
    </row>
    <row r="29" spans="2:6" x14ac:dyDescent="0.2">
      <c r="B29" t="s">
        <v>226</v>
      </c>
      <c r="C29" s="3" t="s">
        <v>164</v>
      </c>
      <c r="F29">
        <v>0</v>
      </c>
    </row>
    <row r="30" spans="2:6" x14ac:dyDescent="0.2">
      <c r="B30" t="s">
        <v>227</v>
      </c>
      <c r="C30" s="3" t="s">
        <v>165</v>
      </c>
      <c r="F30">
        <v>0</v>
      </c>
    </row>
    <row r="31" spans="2:6" x14ac:dyDescent="0.2">
      <c r="B31" t="s">
        <v>228</v>
      </c>
      <c r="C31" s="3" t="s">
        <v>166</v>
      </c>
      <c r="F31">
        <v>0</v>
      </c>
    </row>
    <row r="32" spans="2:6" x14ac:dyDescent="0.2">
      <c r="B32" t="s">
        <v>229</v>
      </c>
      <c r="C32" s="3" t="s">
        <v>167</v>
      </c>
      <c r="F32">
        <v>0</v>
      </c>
    </row>
    <row r="33" spans="2:6" x14ac:dyDescent="0.2">
      <c r="B33" t="s">
        <v>230</v>
      </c>
      <c r="C33" s="3" t="s">
        <v>168</v>
      </c>
      <c r="F33">
        <v>0</v>
      </c>
    </row>
    <row r="34" spans="2:6" x14ac:dyDescent="0.2">
      <c r="B34" t="s">
        <v>231</v>
      </c>
      <c r="C34" s="3" t="s">
        <v>169</v>
      </c>
      <c r="F34">
        <v>0</v>
      </c>
    </row>
    <row r="35" spans="2:6" x14ac:dyDescent="0.2">
      <c r="B35" t="s">
        <v>232</v>
      </c>
      <c r="C35" s="3" t="s">
        <v>170</v>
      </c>
      <c r="F35">
        <v>0</v>
      </c>
    </row>
    <row r="36" spans="2:6" x14ac:dyDescent="0.2">
      <c r="B36" t="s">
        <v>233</v>
      </c>
      <c r="C36" s="3" t="s">
        <v>171</v>
      </c>
      <c r="F36">
        <v>0</v>
      </c>
    </row>
    <row r="37" spans="2:6" x14ac:dyDescent="0.2">
      <c r="B37" t="s">
        <v>234</v>
      </c>
      <c r="C37" s="3" t="s">
        <v>172</v>
      </c>
      <c r="F37">
        <v>0</v>
      </c>
    </row>
    <row r="38" spans="2:6" x14ac:dyDescent="0.2">
      <c r="B38" t="s">
        <v>235</v>
      </c>
      <c r="C38" s="3" t="s">
        <v>173</v>
      </c>
      <c r="F38">
        <v>0</v>
      </c>
    </row>
    <row r="39" spans="2:6" x14ac:dyDescent="0.2">
      <c r="B39" t="s">
        <v>236</v>
      </c>
      <c r="C39" s="3" t="s">
        <v>174</v>
      </c>
      <c r="F39">
        <v>0</v>
      </c>
    </row>
    <row r="40" spans="2:6" x14ac:dyDescent="0.2">
      <c r="B40" t="s">
        <v>237</v>
      </c>
      <c r="C40" s="3" t="s">
        <v>175</v>
      </c>
      <c r="F40">
        <v>0</v>
      </c>
    </row>
    <row r="41" spans="2:6" x14ac:dyDescent="0.2">
      <c r="B41" t="s">
        <v>238</v>
      </c>
      <c r="C41" s="3" t="s">
        <v>176</v>
      </c>
      <c r="F41">
        <v>0</v>
      </c>
    </row>
    <row r="42" spans="2:6" x14ac:dyDescent="0.2">
      <c r="B42" t="s">
        <v>239</v>
      </c>
      <c r="C42" s="3" t="s">
        <v>177</v>
      </c>
      <c r="F42">
        <v>0</v>
      </c>
    </row>
    <row r="43" spans="2:6" x14ac:dyDescent="0.2">
      <c r="B43" t="s">
        <v>240</v>
      </c>
      <c r="C43" s="3" t="s">
        <v>178</v>
      </c>
      <c r="F43">
        <v>0</v>
      </c>
    </row>
    <row r="44" spans="2:6" x14ac:dyDescent="0.2">
      <c r="B44" t="s">
        <v>241</v>
      </c>
      <c r="C44" s="3" t="s">
        <v>179</v>
      </c>
      <c r="F44">
        <v>0</v>
      </c>
    </row>
    <row r="45" spans="2:6" x14ac:dyDescent="0.2">
      <c r="B45" t="s">
        <v>242</v>
      </c>
      <c r="C45" s="3" t="s">
        <v>180</v>
      </c>
      <c r="F45">
        <v>0</v>
      </c>
    </row>
  </sheetData>
  <phoneticPr fontId="6" type="noConversion"/>
  <pageMargins left="0.7" right="0.7" top="0.75" bottom="0.75" header="0.3" footer="0.3"/>
  <ignoredErrors>
    <ignoredError sqref="C3:C45" calculatedColumn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Master Sheet</vt:lpstr>
      <vt:lpstr>Schema</vt:lpstr>
      <vt:lpstr>Project</vt:lpstr>
      <vt:lpstr>Land</vt:lpstr>
      <vt:lpstr>LandPoint</vt:lpstr>
      <vt:lpstr>Level</vt:lpstr>
      <vt:lpstr>Grid</vt:lpstr>
      <vt:lpstr>Grid Curve</vt:lpstr>
      <vt:lpstr>Instance</vt:lpstr>
      <vt:lpstr>Type</vt:lpstr>
      <vt:lpstr>Family</vt:lpstr>
      <vt:lpstr>Category</vt:lpstr>
      <vt:lpstr>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2021-11-10T15:08:24Z</dcterms:created>
  <dcterms:modified xsi:type="dcterms:W3CDTF">2022-01-01T07:20:25Z</dcterms:modified>
</cp:coreProperties>
</file>